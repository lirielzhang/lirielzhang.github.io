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249f4e509c4d45" /></Relationships>
</file>

<file path=xl/workbook.xml><?xml version="1.0" encoding="utf-8"?>
<x:workbook xmlns:x="http://schemas.openxmlformats.org/spreadsheetml/2006/main">
  <x:sheets>
    <x:sheet xmlns:r="http://schemas.openxmlformats.org/officeDocument/2006/relationships" name="README" sheetId="1" r:id="Rb02b8ba3c11a4670"/>
    <x:sheet xmlns:r="http://schemas.openxmlformats.org/officeDocument/2006/relationships" name="Account_Audit" sheetId="2" r:id="R3f6ce4fb183f4a49"/>
    <x:sheet xmlns:r="http://schemas.openxmlformats.org/officeDocument/2006/relationships" name="Slowood_Content_Audit" sheetId="3" r:id="R5498a9dd75364cc1"/>
    <x:sheet xmlns:r="http://schemas.openxmlformats.org/officeDocument/2006/relationships" name="Competitor_Post_Audit" sheetId="4" r:id="R77fb6db68a2645a1"/>
    <x:sheet xmlns:r="http://schemas.openxmlformats.org/officeDocument/2006/relationships" name="XHS_Note_Audit" sheetId="5" r:id="R17aaa09c29df477f"/>
    <x:sheet xmlns:r="http://schemas.openxmlformats.org/officeDocument/2006/relationships" name="Manual_Capture_Guide" sheetId="6" r:id="R3f66d1418924499a"/>
    <x:sheet xmlns:r="http://schemas.openxmlformats.org/officeDocument/2006/relationships" name="Execution_Pack" sheetId="7" r:id="Re1728e5688b442a8"/>
    <x:sheet xmlns:r="http://schemas.openxmlformats.org/officeDocument/2006/relationships" name="Capture_Queue" sheetId="8" r:id="R8ffa53ed6d0f4e19"/>
    <x:sheet xmlns:r="http://schemas.openxmlformats.org/officeDocument/2006/relationships" name="Coding_Dictionary" sheetId="9" r:id="Rd9c774e93566493e"/>
    <x:sheet xmlns:r="http://schemas.openxmlformats.org/officeDocument/2006/relationships" name="Sample_Analysis" sheetId="10" r:id="Rf403aa72080e416c"/>
    <x:sheet xmlns:r="http://schemas.openxmlformats.org/officeDocument/2006/relationships" name="Posting_Frequency" sheetId="11" r:id="R29b4d0b96cf8419c"/>
    <x:sheet xmlns:r="http://schemas.openxmlformats.org/officeDocument/2006/relationships" name="Competitor_Benchmark" sheetId="12" r:id="Reb6f4f0549854563"/>
    <x:sheet xmlns:r="http://schemas.openxmlformats.org/officeDocument/2006/relationships" name="Social_Metrics" sheetId="13" r:id="Ra8b69b290a7341c9"/>
    <x:sheet xmlns:r="http://schemas.openxmlformats.org/officeDocument/2006/relationships" name="Hashtag_Signals" sheetId="14" r:id="Rf985c177f5f8414b"/>
    <x:sheet xmlns:r="http://schemas.openxmlformats.org/officeDocument/2006/relationships" name="Post_Level_Access_Audit" sheetId="15" r:id="R2f7cd638c45b4f4b"/>
    <x:sheet xmlns:r="http://schemas.openxmlformats.org/officeDocument/2006/relationships" name="Community_UGC_Benchmarks" sheetId="16" r:id="R8f5d552c82344991"/>
    <x:sheet xmlns:r="http://schemas.openxmlformats.org/officeDocument/2006/relationships" name="Historical_Post_Examples" sheetId="17" r:id="R1cd0943d1b7445ca"/>
    <x:sheet xmlns:r="http://schemas.openxmlformats.org/officeDocument/2006/relationships" name="IG_Tagged_Samples" sheetId="18" r:id="Rcc39260d3e1d41f0"/>
    <x:sheet xmlns:r="http://schemas.openxmlformats.org/officeDocument/2006/relationships" name="Stories_Highlights_Audit" sheetId="19" r:id="Rf7339b94e7c14bb0"/>
    <x:sheet xmlns:r="http://schemas.openxmlformats.org/officeDocument/2006/relationships" name="Capture_Dashboard" sheetId="20" r:id="R74e7898523ab4fe0"/>
    <x:sheet xmlns:r="http://schemas.openxmlformats.org/officeDocument/2006/relationships" name="Consumer_Insights" sheetId="21" r:id="R4eefca9473e4497a"/>
    <x:sheet xmlns:r="http://schemas.openxmlformats.org/officeDocument/2006/relationships" name="Qualitative_Samples" sheetId="22" r:id="R12aec18d506b4890"/>
    <x:sheet xmlns:r="http://schemas.openxmlformats.org/officeDocument/2006/relationships" name="Strategy_Hypotheses" sheetId="23" r:id="R128be094a9414337"/>
    <x:sheet xmlns:r="http://schemas.openxmlformats.org/officeDocument/2006/relationships" name="Diagnosis_Map" sheetId="24" r:id="Rca974fb6adb04479"/>
    <x:sheet xmlns:r="http://schemas.openxmlformats.org/officeDocument/2006/relationships" name="Content_Activation_Strategy" sheetId="25" r:id="R49e29e7bacd6405a"/>
    <x:sheet xmlns:r="http://schemas.openxmlformats.org/officeDocument/2006/relationships" name="Shareable_Content_Hooks" sheetId="26" r:id="R3c55962158af42c8"/>
    <x:sheet xmlns:r="http://schemas.openxmlformats.org/officeDocument/2006/relationships" name="Portfolio_Proof_Blocks" sheetId="27" r:id="R514a161c78764744"/>
    <x:sheet xmlns:r="http://schemas.openxmlformats.org/officeDocument/2006/relationships" name="Sources" sheetId="28" r:id="R2d7d3640fd014251"/>
    <x:sheet xmlns:r="http://schemas.openxmlformats.org/officeDocument/2006/relationships" name="Completion_Audit" sheetId="29" r:id="R1c1b24113e294f8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214E34"/>
      </x:patternFill>
    </x:fill>
  </x:fills>
  <x:borders count="1">
    <x:border/>
  </x:borders>
  <x:cellStyleXfs count="1">
    <x:xf numFmtId="0" fontId="0" fillId="0" borderId="0"/>
  </x:cellStyleXfs>
  <x:cellXfs count="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87c1d97a5543d4" /><Relationship Type="http://schemas.openxmlformats.org/officeDocument/2006/relationships/theme" Target="/xl/theme/theme1.xml" Id="R7cdcb33189b24ac9" /><Relationship Type="http://schemas.openxmlformats.org/officeDocument/2006/relationships/sharedStrings" Target="/xl/sharedStrings.xml" Id="R701ba8796b9242fb" /><Relationship Type="http://schemas.openxmlformats.org/officeDocument/2006/relationships/worksheet" Target="/xl/worksheets/sheet1.xml" Id="Rb02b8ba3c11a4670" /><Relationship Type="http://schemas.openxmlformats.org/officeDocument/2006/relationships/worksheet" Target="/xl/worksheets/sheet2.xml" Id="R3f6ce4fb183f4a49" /><Relationship Type="http://schemas.openxmlformats.org/officeDocument/2006/relationships/worksheet" Target="/xl/worksheets/sheet3.xml" Id="R5498a9dd75364cc1" /><Relationship Type="http://schemas.openxmlformats.org/officeDocument/2006/relationships/worksheet" Target="/xl/worksheets/sheet4.xml" Id="R77fb6db68a2645a1" /><Relationship Type="http://schemas.openxmlformats.org/officeDocument/2006/relationships/worksheet" Target="/xl/worksheets/sheet5.xml" Id="R17aaa09c29df477f" /><Relationship Type="http://schemas.openxmlformats.org/officeDocument/2006/relationships/worksheet" Target="/xl/worksheets/sheet6.xml" Id="R3f66d1418924499a" /><Relationship Type="http://schemas.openxmlformats.org/officeDocument/2006/relationships/worksheet" Target="/xl/worksheets/sheet7.xml" Id="Re1728e5688b442a8" /><Relationship Type="http://schemas.openxmlformats.org/officeDocument/2006/relationships/worksheet" Target="/xl/worksheets/sheet8.xml" Id="R8ffa53ed6d0f4e19" /><Relationship Type="http://schemas.openxmlformats.org/officeDocument/2006/relationships/worksheet" Target="/xl/worksheets/sheet9.xml" Id="Rd9c774e93566493e" /><Relationship Type="http://schemas.openxmlformats.org/officeDocument/2006/relationships/worksheet" Target="/xl/worksheets/sheet10.xml" Id="Rf403aa72080e416c" /><Relationship Type="http://schemas.openxmlformats.org/officeDocument/2006/relationships/worksheet" Target="/xl/worksheets/sheet11.xml" Id="R29b4d0b96cf8419c" /><Relationship Type="http://schemas.openxmlformats.org/officeDocument/2006/relationships/worksheet" Target="/xl/worksheets/sheet12.xml" Id="Reb6f4f0549854563" /><Relationship Type="http://schemas.openxmlformats.org/officeDocument/2006/relationships/worksheet" Target="/xl/worksheets/sheet13.xml" Id="Ra8b69b290a7341c9" /><Relationship Type="http://schemas.openxmlformats.org/officeDocument/2006/relationships/worksheet" Target="/xl/worksheets/sheet14.xml" Id="Rf985c177f5f8414b" /><Relationship Type="http://schemas.openxmlformats.org/officeDocument/2006/relationships/worksheet" Target="/xl/worksheets/sheet15.xml" Id="R2f7cd638c45b4f4b" /><Relationship Type="http://schemas.openxmlformats.org/officeDocument/2006/relationships/worksheet" Target="/xl/worksheets/sheet16.xml" Id="R8f5d552c82344991" /><Relationship Type="http://schemas.openxmlformats.org/officeDocument/2006/relationships/worksheet" Target="/xl/worksheets/sheet17.xml" Id="R1cd0943d1b7445ca" /><Relationship Type="http://schemas.openxmlformats.org/officeDocument/2006/relationships/worksheet" Target="/xl/worksheets/sheet18.xml" Id="Rcc39260d3e1d41f0" /><Relationship Type="http://schemas.openxmlformats.org/officeDocument/2006/relationships/worksheet" Target="/xl/worksheets/sheet19.xml" Id="Rf7339b94e7c14bb0" /><Relationship Type="http://schemas.openxmlformats.org/officeDocument/2006/relationships/worksheet" Target="/xl/worksheets/sheet20.xml" Id="R74e7898523ab4fe0" /><Relationship Type="http://schemas.openxmlformats.org/officeDocument/2006/relationships/worksheet" Target="/xl/worksheets/sheet21.xml" Id="R4eefca9473e4497a" /><Relationship Type="http://schemas.openxmlformats.org/officeDocument/2006/relationships/worksheet" Target="/xl/worksheets/sheet22.xml" Id="R12aec18d506b4890" /><Relationship Type="http://schemas.openxmlformats.org/officeDocument/2006/relationships/worksheet" Target="/xl/worksheets/sheet23.xml" Id="R128be094a9414337" /><Relationship Type="http://schemas.openxmlformats.org/officeDocument/2006/relationships/worksheet" Target="/xl/worksheets/sheet24.xml" Id="Rca974fb6adb04479" /><Relationship Type="http://schemas.openxmlformats.org/officeDocument/2006/relationships/worksheet" Target="/xl/worksheets/sheet25.xml" Id="R49e29e7bacd6405a" /><Relationship Type="http://schemas.openxmlformats.org/officeDocument/2006/relationships/worksheet" Target="/xl/worksheets/sheet26.xml" Id="R3c55962158af42c8" /><Relationship Type="http://schemas.openxmlformats.org/officeDocument/2006/relationships/worksheet" Target="/xl/worksheets/sheet27.xml" Id="R514a161c78764744" /><Relationship Type="http://schemas.openxmlformats.org/officeDocument/2006/relationships/worksheet" Target="/xl/worksheets/sheet28.xml" Id="R2d7d3640fd014251" /><Relationship Type="http://schemas.openxmlformats.org/officeDocument/2006/relationships/worksheet" Target="/xl/worksheets/sheet29.xml" Id="R1c1b24113e294f8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3" t="str">
        <x:v>Field</x:v>
      </x:c>
      <x:c r="B1" s="3" t="str">
        <x:v>Value</x:v>
      </x:c>
    </x:row>
    <x:row r="2">
      <x:c r="A2" s="4" t="str">
        <x:v>Project</x:v>
      </x:c>
      <x:c r="B2" s="4" t="str">
        <x:v>Slowood brand social performance diagnosis and content activation research</x:v>
      </x:c>
    </x:row>
    <x:row r="3">
      <x:c r="A3" s="4" t="str">
        <x:v>Collected at</x:v>
      </x:c>
      <x:c r="B3" s="4" t="str">
        <x:v>2026-06-08 15:55 CST</x:v>
      </x:c>
    </x:row>
    <x:row r="4">
      <x:c r="A4" s="4" t="str">
        <x:v>Scope</x:v>
      </x:c>
      <x:c r="B4" s="4" t="str">
        <x:v>Slowood logged-in Instagram audit, competitor logged-in Instagram audit, public account/profile audit, consumer insight collection, and remaining manual data fields.</x:v>
      </x:c>
    </x:row>
    <x:row r="5">
      <x:c r="A5" s="4" t="str">
        <x:v>Important limitation</x:v>
      </x:c>
      <x:c r="B5" s="4" t="str">
        <x:v>Slowood, Live Zero, The Bulkshoppers and Xiaohongshu search samples are captured from logged-in Chrome sessions. Some competitor IG interaction fields and XHS comment counts were not reliably exposed by the platforms and are left blank rather than guessed.</x:v>
      </x:c>
    </x:row>
    <x:row r="6">
      <x:c r="A6" s="4" t="str">
        <x:v>Recommended next step</x:v>
      </x:c>
      <x:c r="B6" s="4" t="str">
        <x:v>Use the completed IG + XHS sample for diagnosis, then optionally capture Green Common current posts or XHS screenshots if the final deck needs more visual evidence.</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s="3" t="str">
        <x:v>Brand</x:v>
      </x:c>
      <x:c r="B1" s="3" t="str">
        <x:v>Platform</x:v>
      </x:c>
      <x:c r="C1" s="3" t="str">
        <x:v>Handle / URL</x:v>
      </x:c>
      <x:c r="D1" s="3" t="str">
        <x:v>Followers</x:v>
      </x:c>
      <x:c r="E1" s="3" t="str">
        <x:v>Following</x:v>
      </x:c>
      <x:c r="F1" s="3" t="str">
        <x:v>Posts</x:v>
      </x:c>
      <x:c r="G1" s="3" t="str">
        <x:v>Bio / Positioning</x:v>
      </x:c>
      <x:c r="H1" s="3" t="str">
        <x:v>Audit Notes</x:v>
      </x:c>
      <x:c r="I1" s="3" t="str">
        <x:v>Source Type</x:v>
      </x:c>
      <x:c r="J1" s="3" t="str">
        <x:v>Access Status</x:v>
      </x:c>
    </x:row>
    <x:row r="2">
      <x:c r="A2" s="4" t="str">
        <x:v>Slowood</x:v>
      </x:c>
      <x:c r="B2" s="4" t="str">
        <x:v>Instagram</x:v>
      </x:c>
      <x:c r="C2" s="4" t="str">
        <x:v>@slowood.hk</x:v>
      </x:c>
      <x:c r="D2" s="4" t="str">
        <x:v>36K</x:v>
      </x:c>
      <x:c r="E2" s="4" t="str">
        <x:v>1,367</x:v>
      </x:c>
      <x:c r="F2" s="4" t="str">
        <x:v>1,030</x:v>
      </x:c>
      <x:c r="G2" s="4" t="str">
        <x:v>Sustainable Lifestyle &amp; Zerowaste Store; Central | K-Town | Causeway Bay | HK Airport; REFILL Point @refill.hk; portaly.cc/slowood</x:v>
      </x:c>
      <x:c r="H2" s="4" t="str">
        <x:v>Logged-in Chrome audit captured profile, highlights and 15 recent post samples from April 16 to June 24, 2025. The sample is enough for current Slowood IG diagnosis; comments were mostly zero/no comments in the visible sample.</x:v>
      </x:c>
      <x:c r="I2" s="4" t="str">
        <x:v>Logged-in Chrome audit + user screenshot</x:v>
      </x:c>
      <x:c r="J2" s="4" t="str">
        <x:v>Captured</x:v>
      </x:c>
    </x:row>
    <x:row r="3">
      <x:c r="A3" s="4" t="str">
        <x:v>Slowood</x:v>
      </x:c>
      <x:c r="B3" s="4" t="str">
        <x:v>Link in bio</x:v>
      </x:c>
      <x:c r="C3" s="4" t="str">
        <x:v>linktr.ee/slowood</x:v>
      </x:c>
      <x:c r="D3" s="4" t="str"/>
      <x:c r="E3" s="4" t="str"/>
      <x:c r="F3" s="4" t="str"/>
      <x:c r="G3" s="4" t="str">
        <x:v>Take a tiny step forward</x:v>
      </x:c>
      <x:c r="H3" s="4" t="str">
        <x:v>The link hub is broad rather than campaign-specific in the static snapshot; contact page was the significant structured link.</x:v>
      </x:c>
      <x:c r="I3" s="4" t="str">
        <x:v>Linktree metadata</x:v>
      </x:c>
      <x:c r="J3" s="4" t="str">
        <x:v>Verified page metadata</x:v>
      </x:c>
    </x:row>
    <x:row r="4">
      <x:c r="A4" s="4" t="str">
        <x:v>Slowood</x:v>
      </x:c>
      <x:c r="B4" s="4" t="str">
        <x:v>Website</x:v>
      </x:c>
      <x:c r="C4" s="4" t="str">
        <x:v>slowood.hk</x:v>
      </x:c>
      <x:c r="D4" s="4" t="str"/>
      <x:c r="E4" s="4" t="str"/>
      <x:c r="F4" s="4" t="str"/>
      <x:c r="G4" s="4" t="str">
        <x:v>Zero-Waste and Sustainable Lifestyle and Grocery Store</x:v>
      </x:c>
      <x:c r="H4" s="4" t="str">
        <x:v>Website emphasizes bulk/refill behavior, tiny steps, carbon-neutral online orders, local founders, and store network.</x:v>
      </x:c>
      <x:c r="I4" s="4" t="str">
        <x:v>Official website pages</x:v>
      </x:c>
      <x:c r="J4" s="4" t="str">
        <x:v>Verified</x:v>
      </x:c>
    </x:row>
    <x:row r="5">
      <x:c r="A5" s="4" t="str">
        <x:v>Slowood</x:v>
      </x:c>
      <x:c r="B5" s="4" t="str">
        <x:v>Xiaohongshu</x:v>
      </x:c>
      <x:c r="C5" s="4" t="str">
        <x:v>Search: Slowood / Slowood香港</x:v>
      </x:c>
      <x:c r="D5" s="4" t="str"/>
      <x:c r="E5" s="4" t="str"/>
      <x:c r="F5" s="4" t="str"/>
      <x:c r="G5" s="4" t="str">
        <x:v>Search results show strong Slowood note volume around 香港必买, 购物攻略, 线香/香氛, 机场店, 伴手礼 and 避雷/雷品.</x:v>
      </x:c>
      <x:c r="H5" s="4" t="str">
        <x:v>Logged-in Xiaohongshu search captured 15 raw note samples with titles, visible likes/saves, dates, URLs, motivation and barrier coding.</x:v>
      </x:c>
      <x:c r="I5" s="4" t="str">
        <x:v>Logged-in Chrome audit</x:v>
      </x:c>
      <x:c r="J5" s="4" t="str">
        <x:v>Captured</x:v>
      </x:c>
    </x:row>
    <x:row r="6">
      <x:c r="A6" s="4" t="str">
        <x:v>Live Zero</x:v>
      </x:c>
      <x:c r="B6" s="4" t="str">
        <x:v>Instagram</x:v>
      </x:c>
      <x:c r="C6" s="4" t="str">
        <x:v>@livezero.hk</x:v>
      </x:c>
      <x:c r="D6" s="4" t="str">
        <x:v>17.4K</x:v>
      </x:c>
      <x:c r="E6" s="4" t="str">
        <x:v>1,000</x:v>
      </x:c>
      <x:c r="F6" s="4" t="str">
        <x:v>615</x:v>
      </x:c>
      <x:c r="G6" s="4" t="str">
        <x:v>Hong Kong's first zero-waste grocery store; low-waste groceries &amp; eco-friendly products; Tue-Sat 10a-7p, Sun 10a-6p</x:v>
      </x:c>
      <x:c r="H6" s="4" t="str">
        <x:v>Direct competitor; current 10-post sample captured. Content is more action-oriented around how-to refill, jar donation, product arrival, local vegetables and store updates.</x:v>
      </x:c>
      <x:c r="I6" s="4" t="str">
        <x:v>Logged-in Chrome audit</x:v>
      </x:c>
      <x:c r="J6" s="4" t="str">
        <x:v>Captured</x:v>
      </x:c>
    </x:row>
    <x:row r="7">
      <x:c r="A7" s="4" t="str">
        <x:v>The Bulkshoppers</x:v>
      </x:c>
      <x:c r="B7" s="4" t="str">
        <x:v>Instagram</x:v>
      </x:c>
      <x:c r="C7" s="4" t="str">
        <x:v>@thebulkshoppers</x:v>
      </x:c>
      <x:c r="D7" s="4" t="str">
        <x:v>3,233</x:v>
      </x:c>
      <x:c r="E7" s="4" t="str">
        <x:v>571</x:v>
      </x:c>
      <x:c r="F7" s="4" t="str">
        <x:v>1,586</x:v>
      </x:c>
      <x:c r="G7" s="4" t="str">
        <x:v>Tai Po bare/bulk shop selling local and eco products; cleaning, soaps, spices, seasonings, tea, nuts, cereals, snacks</x:v>
      </x:c>
      <x:c r="H7" s="4" t="str">
        <x:v>Small community store; current 10-post sample captured. Content is highly operational and order-led: vegetable orders, pickup arrangements, product groups and opening changes.</x:v>
      </x:c>
      <x:c r="I7" s="4" t="str">
        <x:v>Logged-in Chrome audit</x:v>
      </x:c>
      <x:c r="J7" s="4" t="str">
        <x:v>Captured</x:v>
      </x:c>
    </x:row>
    <x:row r="8">
      <x:c r="A8" s="4" t="str">
        <x:v>The BulkSHoppers</x:v>
      </x:c>
      <x:c r="B8" s="4" t="str">
        <x:v>Link in bio</x:v>
      </x:c>
      <x:c r="C8" s="4" t="str">
        <x:v>linktr.ee/thebulkshoppers</x:v>
      </x:c>
      <x:c r="D8" s="4" t="str"/>
      <x:c r="E8" s="4" t="str"/>
      <x:c r="F8" s="4" t="str"/>
      <x:c r="G8" s="4" t="str">
        <x:v>Order and contact hub for Tai Po bulk/bare shopping brand.</x:v>
      </x:c>
      <x:c r="H8" s="4" t="str">
        <x:v>The link hub gives a practical conversion model: social profile should quickly route to order/contact and product action.</x:v>
      </x:c>
      <x:c r="I8" s="4" t="str">
        <x:v>Linktree metadata</x:v>
      </x:c>
      <x:c r="J8" s="4" t="str">
        <x:v>Verified page metadata</x:v>
      </x:c>
    </x:row>
    <x:row r="9">
      <x:c r="A9" s="4" t="str">
        <x:v>Green Common / OmniFoods HK</x:v>
      </x:c>
      <x:c r="B9" s="4" t="str">
        <x:v>Instagram benchmark</x:v>
      </x:c>
      <x:c r="C9" s="4" t="str">
        <x:v>@omnifoods.hk captured; Green Common metadata not stable</x:v>
      </x:c>
      <x:c r="D9" s="4" t="str">
        <x:v>16K</x:v>
      </x:c>
      <x:c r="E9" s="4" t="str">
        <x:v>453</x:v>
      </x:c>
      <x:c r="F9" s="4" t="str">
        <x:v>1,270</x:v>
      </x:c>
      <x:c r="G9" s="4" t="str">
        <x:v>100% plant-based products; recipe/cooking use cases; plant-based tags</x:v>
      </x:c>
      <x:c r="H9" s="4" t="str">
        <x:v>Use as indirect benchmark for turning sustainability into recipes, meals, and easy adoption behavior.</x:v>
      </x:c>
      <x:c r="I9" s="4" t="str">
        <x:v>Public profile metadata + Green Common site</x:v>
      </x:c>
      <x:c r="J9" s="4" t="str">
        <x:v>Partial proxy</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s="3" t="str">
        <x:v>Sample ID</x:v>
      </x:c>
      <x:c r="B1" s="3" t="str">
        <x:v>Platform</x:v>
      </x:c>
      <x:c r="C1" s="3" t="str">
        <x:v>Post URL</x:v>
      </x:c>
      <x:c r="D1" s="3" t="str">
        <x:v>Date</x:v>
      </x:c>
      <x:c r="E1" s="3" t="str">
        <x:v>Content Type</x:v>
      </x:c>
      <x:c r="F1" s="3" t="str">
        <x:v>Format</x:v>
      </x:c>
      <x:c r="G1" s="3" t="str">
        <x:v>Likes</x:v>
      </x:c>
      <x:c r="H1" s="3" t="str">
        <x:v>Comments</x:v>
      </x:c>
      <x:c r="I1" s="3" t="str">
        <x:v>Caption Hook</x:v>
      </x:c>
      <x:c r="J1" s="3" t="str">
        <x:v>Visual Style</x:v>
      </x:c>
      <x:c r="K1" s="3" t="str">
        <x:v>Hashtags / Series</x:v>
      </x:c>
      <x:c r="L1" s="3" t="str">
        <x:v>Comment Themes</x:v>
      </x:c>
      <x:c r="M1" s="3" t="str">
        <x:v>Data Status</x:v>
      </x:c>
      <x:c r="N1" s="3" t="str">
        <x:v>Manual Capture Note</x:v>
      </x:c>
    </x:row>
    <x:row r="2">
      <x:c r="A2" s="4" t="str">
        <x:v>IG-AUTO-01</x:v>
      </x:c>
      <x:c r="B2" s="4" t="str">
        <x:v>Instagram</x:v>
      </x:c>
      <x:c r="C2" s="4" t="str">
        <x:v>https://www.instagram.com/slowood.hk/p/DLRCgI6ylPl/</x:v>
      </x:c>
      <x:c r="D2" s="4" t="str">
        <x:v>2025-06-24</x:v>
      </x:c>
      <x:c r="E2" s="4" t="str">
        <x:v>Education</x:v>
      </x:c>
      <x:c r="F2" s="4" t="str">
        <x:v>Carousel</x:v>
      </x:c>
      <x:c r="G2" s="4" t="str">
        <x:v>16</x:v>
      </x:c>
      <x:c r="H2" s="4" t="str">
        <x:v>0</x:v>
      </x:c>
      <x:c r="I2" s="4" t="str">
        <x:v>純淨護膚第一步：溫和清潔 🌿</x:v>
      </x:c>
      <x:c r="J2" s="4" t="str">
        <x:v>Pastel bilingual text-card carousel; skincare education tied to hot, humid summer and gentle cleansing.</x:v>
      </x:c>
      <x:c r="K2" s="4" t="str">
        <x:v>#Summer; #Cleansing; #CleanBeauty; #Azurlis; #NewZealand</x:v>
      </x:c>
      <x:c r="L2" s="4" t="str">
        <x:v>No comments yet</x:v>
      </x:c>
      <x:c r="M2" s="4" t="str">
        <x:v>Captured</x:v>
      </x:c>
      <x:c r="N2" s="4" t="str">
        <x:v>Logged-in Chrome audit; read-only capture.</x:v>
      </x:c>
    </x:row>
    <x:row r="3">
      <x:c r="A3" s="4" t="str">
        <x:v>IG-AUTO-02</x:v>
      </x:c>
      <x:c r="B3" s="4" t="str">
        <x:v>Instagram</x:v>
      </x:c>
      <x:c r="C3" s="4" t="str">
        <x:v>https://www.instagram.com/slowood.hk/p/DK_G97wvAwf/</x:v>
      </x:c>
      <x:c r="D3" s="4" t="str">
        <x:v>2025-06-17</x:v>
      </x:c>
      <x:c r="E3" s="4" t="str">
        <x:v>Promo</x:v>
      </x:c>
      <x:c r="F3" s="4" t="str">
        <x:v>Carousel</x:v>
      </x:c>
      <x:c r="G3" s="4" t="str">
        <x:v>36</x:v>
      </x:c>
      <x:c r="H3" s="4" t="str">
        <x:v>0</x:v>
      </x:c>
      <x:c r="I3" s="4" t="str">
        <x:v>種子積分這個月尾就到期了 🔔</x:v>
      </x:c>
      <x:c r="J3" s="4" t="str">
        <x:v>Membership/service reminder; seed points expiry and loyalty retention message.</x:v>
      </x:c>
      <x:c r="K3" s="4" t="str"/>
      <x:c r="L3" s="4" t="str">
        <x:v>No comments yet</x:v>
      </x:c>
      <x:c r="M3" s="4" t="str">
        <x:v>Captured</x:v>
      </x:c>
      <x:c r="N3" s="4" t="str">
        <x:v>Logged-in Chrome audit; read-only capture.</x:v>
      </x:c>
    </x:row>
    <x:row r="4">
      <x:c r="A4" s="4" t="str">
        <x:v>IG-AUTO-03</x:v>
      </x:c>
      <x:c r="B4" s="4" t="str">
        <x:v>Instagram</x:v>
      </x:c>
      <x:c r="C4" s="4" t="str">
        <x:v>https://www.instagram.com/slowood.hk/p/DJ-vQXLoG3U/</x:v>
      </x:c>
      <x:c r="D4" s="4" t="str">
        <x:v>2025-05-23</x:v>
      </x:c>
      <x:c r="E4" s="4" t="str">
        <x:v>Education</x:v>
      </x:c>
      <x:c r="F4" s="4" t="str">
        <x:v>Static Image</x:v>
      </x:c>
      <x:c r="G4" s="4" t="str">
        <x:v>35</x:v>
      </x:c>
      <x:c r="H4" s="4" t="str">
        <x:v>0</x:v>
      </x:c>
      <x:c r="I4" s="4" t="str">
        <x:v>海洋提供的氧氣，比亞馬遜雨林更多！🌳</x:v>
      </x:c>
      <x:c r="J4" s="4" t="str">
        <x:v>Ocean/environment fact-led education; visual likely water/ocean theme.</x:v>
      </x:c>
      <x:c r="K4" s="4" t="str"/>
      <x:c r="L4" s="4" t="str">
        <x:v>No comments yet</x:v>
      </x:c>
      <x:c r="M4" s="4" t="str">
        <x:v>Captured</x:v>
      </x:c>
      <x:c r="N4" s="4" t="str">
        <x:v>Logged-in Chrome audit; read-only capture.</x:v>
      </x:c>
    </x:row>
    <x:row r="5">
      <x:c r="A5" s="4" t="str">
        <x:v>IG-AUTO-04</x:v>
      </x:c>
      <x:c r="B5" s="4" t="str">
        <x:v>Instagram</x:v>
      </x:c>
      <x:c r="C5" s="4" t="str">
        <x:v>https://www.instagram.com/slowood.hk/p/DJ8KWjDMBIE/</x:v>
      </x:c>
      <x:c r="D5" s="4" t="str">
        <x:v>2025-05-22</x:v>
      </x:c>
      <x:c r="E5" s="4" t="str">
        <x:v>Education</x:v>
      </x:c>
      <x:c r="F5" s="4" t="str">
        <x:v>Carousel</x:v>
      </x:c>
      <x:c r="G5" s="4" t="str">
        <x:v>39</x:v>
      </x:c>
      <x:c r="H5" s="4" t="str">
        <x:v>0</x:v>
      </x:c>
      <x:c r="I5" s="4" t="str">
        <x:v>守護海洋，從讀懂防曬成分開始 🌊</x:v>
      </x:c>
      <x:c r="J5" s="4" t="str">
        <x:v>Saveable sunscreen ingredient guide; ocean-friendly framing.</x:v>
      </x:c>
      <x:c r="K5" s="4" t="str"/>
      <x:c r="L5" s="4" t="str">
        <x:v>No comments yet</x:v>
      </x:c>
      <x:c r="M5" s="4" t="str">
        <x:v>Captured</x:v>
      </x:c>
      <x:c r="N5" s="4" t="str">
        <x:v>Logged-in Chrome audit; read-only capture.</x:v>
      </x:c>
    </x:row>
    <x:row r="6">
      <x:c r="A6" s="4" t="str">
        <x:v>IG-AUTO-05</x:v>
      </x:c>
      <x:c r="B6" s="4" t="str">
        <x:v>Instagram</x:v>
      </x:c>
      <x:c r="C6" s="4" t="str">
        <x:v>https://www.instagram.com/slowood.hk/p/DJ6Vj7xhUm_/</x:v>
      </x:c>
      <x:c r="D6" s="4" t="str">
        <x:v>2025-05-21</x:v>
      </x:c>
      <x:c r="E6" s="4" t="str">
        <x:v>Education</x:v>
      </x:c>
      <x:c r="F6" s="4" t="str">
        <x:v>Carousel</x:v>
      </x:c>
      <x:c r="G6" s="4" t="str">
        <x:v>2</x:v>
      </x:c>
      <x:c r="H6" s="4" t="str"/>
      <x:c r="I6" s="4" t="str">
        <x:v>SPF 越高越好？選錯反而傷害海洋與身體！🌏</x:v>
      </x:c>
      <x:c r="J6" s="4" t="str">
        <x:v>Sunscreen myth-busting guide; scenario-based summer skincare education.</x:v>
      </x:c>
      <x:c r="K6" s="4" t="str"/>
      <x:c r="L6" s="4" t="str">
        <x:v>Comment area not reliably visible</x:v>
      </x:c>
      <x:c r="M6" s="4" t="str">
        <x:v>Captured</x:v>
      </x:c>
      <x:c r="N6" s="4" t="str">
        <x:v>Logged-in Chrome audit; read-only capture. Like count appears unusually low but was captured from visible post detail.</x:v>
      </x:c>
    </x:row>
    <x:row r="7">
      <x:c r="A7" s="4" t="str">
        <x:v>IG-AUTO-06</x:v>
      </x:c>
      <x:c r="B7" s="4" t="str">
        <x:v>Instagram</x:v>
      </x:c>
      <x:c r="C7" s="4" t="str">
        <x:v>https://www.instagram.com/slowood.hk/p/DJ30C4aPca5/</x:v>
      </x:c>
      <x:c r="D7" s="4" t="str">
        <x:v>2025-05-20</x:v>
      </x:c>
      <x:c r="E7" s="4" t="str">
        <x:v>Promo</x:v>
      </x:c>
      <x:c r="F7" s="4" t="str">
        <x:v>Carousel</x:v>
      </x:c>
      <x:c r="G7" s="4" t="str">
        <x:v>38</x:v>
      </x:c>
      <x:c r="H7" s="4" t="str">
        <x:v>0</x:v>
      </x:c>
      <x:c r="I7" s="4" t="str">
        <x:v>永續的愛情，始於浪漫的選擇 💍</x:v>
      </x:c>
      <x:c r="J7" s="4" t="str">
        <x:v>Wedding gift voucher promotion; sustainable gifting angle.</x:v>
      </x:c>
      <x:c r="K7" s="4" t="str">
        <x:v>#Slowood; #WeddingVoucher; #結婚禮券</x:v>
      </x:c>
      <x:c r="L7" s="4" t="str">
        <x:v>No comments yet</x:v>
      </x:c>
      <x:c r="M7" s="4" t="str">
        <x:v>Captured</x:v>
      </x:c>
      <x:c r="N7" s="4" t="str">
        <x:v>Logged-in Chrome audit; read-only capture.</x:v>
      </x:c>
    </x:row>
    <x:row r="8">
      <x:c r="A8" s="4" t="str">
        <x:v>IG-AUTO-07</x:v>
      </x:c>
      <x:c r="B8" s="4" t="str">
        <x:v>Instagram</x:v>
      </x:c>
      <x:c r="C8" s="4" t="str">
        <x:v>https://www.instagram.com/slowood.hk/p/DI5GoDQh15R/</x:v>
      </x:c>
      <x:c r="D8" s="4" t="str">
        <x:v>2025-04-26</x:v>
      </x:c>
      <x:c r="E8" s="4" t="str">
        <x:v>Education</x:v>
      </x:c>
      <x:c r="F8" s="4" t="str">
        <x:v>Carousel</x:v>
      </x:c>
      <x:c r="G8" s="4" t="str">
        <x:v>39</x:v>
      </x:c>
      <x:c r="H8" s="4" t="str">
        <x:v>0</x:v>
      </x:c>
      <x:c r="I8" s="4" t="str">
        <x:v>為地球做出更好的選擇 🌱</x:v>
      </x:c>
      <x:c r="J8" s="4" t="str">
        <x:v>Earth Day/natural essential oil education; value explanation rather than user story.</x:v>
      </x:c>
      <x:c r="K8" s="4" t="str">
        <x:v>#EarthDay2025</x:v>
      </x:c>
      <x:c r="L8" s="4" t="str">
        <x:v>No comments yet</x:v>
      </x:c>
      <x:c r="M8" s="4" t="str">
        <x:v>Captured</x:v>
      </x:c>
      <x:c r="N8" s="4" t="str">
        <x:v>Logged-in Chrome audit; read-only capture.</x:v>
      </x:c>
    </x:row>
    <x:row r="9">
      <x:c r="A9" s="4" t="str">
        <x:v>IG-AUTO-08</x:v>
      </x:c>
      <x:c r="B9" s="4" t="str">
        <x:v>Instagram</x:v>
      </x:c>
      <x:c r="C9" s="4" t="str">
        <x:v>https://www.instagram.com/slowood.hk/p/DI2dRaovjQG/</x:v>
      </x:c>
      <x:c r="D9" s="4" t="str">
        <x:v>2025-04-25</x:v>
      </x:c>
      <x:c r="E9" s="4" t="str">
        <x:v>Education</x:v>
      </x:c>
      <x:c r="F9" s="4" t="str">
        <x:v>Static Image</x:v>
      </x:c>
      <x:c r="G9" s="4" t="str">
        <x:v>50</x:v>
      </x:c>
      <x:c r="H9" s="4" t="str">
        <x:v>0</x:v>
      </x:c>
      <x:c r="I9" s="4" t="str">
        <x:v>你知道環境中的香氣，可能正在令地球窒息嗎？🌍</x:v>
      </x:c>
      <x:c r="J9" s="4" t="str">
        <x:v>Artificial fragrance/VOC environmental education; text-heavy awareness angle.</x:v>
      </x:c>
      <x:c r="K9" s="4" t="str">
        <x:v>#EarthDay2025</x:v>
      </x:c>
      <x:c r="L9" s="4" t="str">
        <x:v>No comments yet</x:v>
      </x:c>
      <x:c r="M9" s="4" t="str">
        <x:v>Captured</x:v>
      </x:c>
      <x:c r="N9" s="4" t="str">
        <x:v>Logged-in Chrome audit; read-only capture.</x:v>
      </x:c>
    </x:row>
    <x:row r="10">
      <x:c r="A10" s="4" t="str">
        <x:v>IG-AUTO-09</x:v>
      </x:c>
      <x:c r="B10" s="4" t="str">
        <x:v>Instagram</x:v>
      </x:c>
      <x:c r="C10" s="4" t="str">
        <x:v>https://www.instagram.com/slowood.hk/p/DIu-oGLvkBk/</x:v>
      </x:c>
      <x:c r="D10" s="4" t="str">
        <x:v>2025-04-22</x:v>
      </x:c>
      <x:c r="E10" s="4" t="str">
        <x:v>Education</x:v>
      </x:c>
      <x:c r="F10" s="4" t="str">
        <x:v>Static Image</x:v>
      </x:c>
      <x:c r="G10" s="4" t="str">
        <x:v>58</x:v>
      </x:c>
      <x:c r="H10" s="4" t="str">
        <x:v>0</x:v>
      </x:c>
      <x:c r="I10" s="4" t="str">
        <x:v>地球日，從有意識的選擇開始 🌏</x:v>
      </x:c>
      <x:c r="J10" s="4" t="str">
        <x:v>Earth Day values post; broad conscious-choice framing.</x:v>
      </x:c>
      <x:c r="K10" s="4" t="str">
        <x:v>#EarthDay2025</x:v>
      </x:c>
      <x:c r="L10" s="4" t="str">
        <x:v>No comments yet</x:v>
      </x:c>
      <x:c r="M10" s="4" t="str">
        <x:v>Captured</x:v>
      </x:c>
      <x:c r="N10" s="4" t="str">
        <x:v>Logged-in Chrome audit; read-only capture.</x:v>
      </x:c>
    </x:row>
    <x:row r="11">
      <x:c r="A11" s="4" t="str">
        <x:v>IG-AUTO-10</x:v>
      </x:c>
      <x:c r="B11" s="4" t="str">
        <x:v>Instagram</x:v>
      </x:c>
      <x:c r="C11" s="4" t="str">
        <x:v>https://www.instagram.com/slowood.hk/p/DIsHyETMIZs/</x:v>
      </x:c>
      <x:c r="D11" s="4" t="str">
        <x:v>2025-04-21</x:v>
      </x:c>
      <x:c r="E11" s="4" t="str">
        <x:v>Education</x:v>
      </x:c>
      <x:c r="F11" s="4" t="str">
        <x:v>Carousel</x:v>
      </x:c>
      <x:c r="G11" s="4" t="str">
        <x:v>29</x:v>
      </x:c>
      <x:c r="H11" s="4" t="str">
        <x:v>0</x:v>
      </x:c>
      <x:c r="I11" s="4" t="str">
        <x:v>在 Slowood，包裝是環保實踐的第一步</x:v>
      </x:c>
      <x:c r="J11" s="4" t="str">
        <x:v>Behind-the-scenes SloFamily content about packaging choices and waste reduction.</x:v>
      </x:c>
      <x:c r="K11" s="4" t="str">
        <x:v>#SloFamily; #Behindthescene</x:v>
      </x:c>
      <x:c r="L11" s="4" t="str">
        <x:v>No comments yet</x:v>
      </x:c>
      <x:c r="M11" s="4" t="str">
        <x:v>Captured</x:v>
      </x:c>
      <x:c r="N11" s="4" t="str">
        <x:v>Logged-in Chrome audit; read-only capture.</x:v>
      </x:c>
    </x:row>
    <x:row r="12">
      <x:c r="A12" s="4" t="str">
        <x:v>IG-AUTO-11</x:v>
      </x:c>
      <x:c r="B12" s="4" t="str">
        <x:v>Instagram</x:v>
      </x:c>
      <x:c r="C12" s="4" t="str">
        <x:v>https://www.instagram.com/slowood.hk/p/DIpwuhZsRHB/</x:v>
      </x:c>
      <x:c r="D12" s="4" t="str">
        <x:v>2025-04-20</x:v>
      </x:c>
      <x:c r="E12" s="4" t="str">
        <x:v>Lifestyle</x:v>
      </x:c>
      <x:c r="F12" s="4" t="str">
        <x:v>Carousel</x:v>
      </x:c>
      <x:c r="G12" s="4" t="str">
        <x:v>28</x:v>
      </x:c>
      <x:c r="H12" s="4" t="str">
        <x:v>0</x:v>
      </x:c>
      <x:c r="I12" s="4" t="str">
        <x:v>當購物多了選擇的時候⋯⋯</x:v>
      </x:c>
      <x:c r="J12" s="4" t="str">
        <x:v>SloFamily staff/story content; purchasing team and animal-friendly product selection.</x:v>
      </x:c>
      <x:c r="K12" s="4" t="str">
        <x:v>#SloFamily; #Behindthescene</x:v>
      </x:c>
      <x:c r="L12" s="4" t="str">
        <x:v>No comments yet</x:v>
      </x:c>
      <x:c r="M12" s="4" t="str">
        <x:v>Captured</x:v>
      </x:c>
      <x:c r="N12" s="4" t="str">
        <x:v>Logged-in Chrome audit; read-only capture.</x:v>
      </x:c>
    </x:row>
    <x:row r="13">
      <x:c r="A13" s="4" t="str">
        <x:v>IG-AUTO-12</x:v>
      </x:c>
      <x:c r="B13" s="4" t="str">
        <x:v>Instagram</x:v>
      </x:c>
      <x:c r="C13" s="4" t="str">
        <x:v>https://www.instagram.com/slowood.hk/p/DInFGGbtPxa/</x:v>
      </x:c>
      <x:c r="D13" s="4" t="str">
        <x:v>2025-04-19</x:v>
      </x:c>
      <x:c r="E13" s="4" t="str">
        <x:v>Lifestyle</x:v>
      </x:c>
      <x:c r="F13" s="4" t="str">
        <x:v>Carousel</x:v>
      </x:c>
      <x:c r="G13" s="4" t="str"/>
      <x:c r="H13" s="4" t="str">
        <x:v>0</x:v>
      </x:c>
      <x:c r="I13" s="4" t="str">
        <x:v>永續，是一場充滿想像力的旅程。</x:v>
      </x:c>
      <x:c r="J13" s="4" t="str">
        <x:v>Designer/staff story about reusing bottles as planters, storage or refill containers.</x:v>
      </x:c>
      <x:c r="K13" s="4" t="str">
        <x:v>#SloFamily; #Behindthescene</x:v>
      </x:c>
      <x:c r="L13" s="4" t="str">
        <x:v>No comments yet</x:v>
      </x:c>
      <x:c r="M13" s="4" t="str">
        <x:v>Captured</x:v>
      </x:c>
      <x:c r="N13" s="4" t="str">
        <x:v>Logged-in Chrome audit; like count not reliably exposed on this post.</x:v>
      </x:c>
    </x:row>
    <x:row r="14">
      <x:c r="A14" s="4" t="str">
        <x:v>IG-AUTO-13</x:v>
      </x:c>
      <x:c r="B14" s="4" t="str">
        <x:v>Instagram</x:v>
      </x:c>
      <x:c r="C14" s="4" t="str">
        <x:v>https://www.instagram.com/slowood.hk/p/DIk02I2NwZh/</x:v>
      </x:c>
      <x:c r="D14" s="4" t="str">
        <x:v>2025-04-18</x:v>
      </x:c>
      <x:c r="E14" s="4" t="str">
        <x:v>Lifestyle</x:v>
      </x:c>
      <x:c r="F14" s="4" t="str">
        <x:v>Carousel</x:v>
      </x:c>
      <x:c r="G14" s="4" t="str">
        <x:v>44</x:v>
      </x:c>
      <x:c r="H14" s="4" t="str">
        <x:v>0</x:v>
      </x:c>
      <x:c r="I14" s="4" t="str">
        <x:v>當裸買店成為社區的永續種子 🌾</x:v>
      </x:c>
      <x:c r="J14" s="4" t="str">
        <x:v>Store manager/community story; BYO container as low-barrier behavior.</x:v>
      </x:c>
      <x:c r="K14" s="4" t="str">
        <x:v>#SloFamily; #Behindthescene</x:v>
      </x:c>
      <x:c r="L14" s="4" t="str">
        <x:v>No comments yet</x:v>
      </x:c>
      <x:c r="M14" s="4" t="str">
        <x:v>Captured</x:v>
      </x:c>
      <x:c r="N14" s="4" t="str">
        <x:v>Logged-in Chrome audit; read-only capture.</x:v>
      </x:c>
    </x:row>
    <x:row r="15">
      <x:c r="A15" s="4" t="str">
        <x:v>IG-AUTO-14</x:v>
      </x:c>
      <x:c r="B15" s="4" t="str">
        <x:v>Instagram</x:v>
      </x:c>
      <x:c r="C15" s="4" t="str">
        <x:v>https://www.instagram.com/slowood.hk/p/DIiUT4BTXCP/</x:v>
      </x:c>
      <x:c r="D15" s="4" t="str">
        <x:v>2025-04-17</x:v>
      </x:c>
      <x:c r="E15" s="4" t="str">
        <x:v>Lifestyle</x:v>
      </x:c>
      <x:c r="F15" s="4" t="str">
        <x:v>Carousel</x:v>
      </x:c>
      <x:c r="G15" s="4" t="str">
        <x:v>34</x:v>
      </x:c>
      <x:c r="H15" s="4" t="str">
        <x:v>0</x:v>
      </x:c>
      <x:c r="I15" s="4" t="str">
        <x:v>將大自然融入到城市角落中 🌿</x:v>
      </x:c>
      <x:c r="J15" s="4" t="str">
        <x:v>Store design/aesthetic post; natural materials and zero-waste imagination.</x:v>
      </x:c>
      <x:c r="K15" s="4" t="str">
        <x:v>#SloFamily; #Behindthescene</x:v>
      </x:c>
      <x:c r="L15" s="4" t="str">
        <x:v>No comments yet</x:v>
      </x:c>
      <x:c r="M15" s="4" t="str">
        <x:v>Captured</x:v>
      </x:c>
      <x:c r="N15" s="4" t="str">
        <x:v>Logged-in Chrome audit; read-only capture.</x:v>
      </x:c>
    </x:row>
    <x:row r="16">
      <x:c r="A16" s="4" t="str">
        <x:v>IG-AUTO-15</x:v>
      </x:c>
      <x:c r="B16" s="4" t="str">
        <x:v>Instagram</x:v>
      </x:c>
      <x:c r="C16" s="4" t="str">
        <x:v>https://www.instagram.com/slowood.hk/p/DIgCNOTTT9V/</x:v>
      </x:c>
      <x:c r="D16" s="4" t="str">
        <x:v>2025-04-16</x:v>
      </x:c>
      <x:c r="E16" s="4" t="str">
        <x:v>Education</x:v>
      </x:c>
      <x:c r="F16" s="4" t="str">
        <x:v>Carousel</x:v>
      </x:c>
      <x:c r="G16" s="4" t="str">
        <x:v>40</x:v>
      </x:c>
      <x:c r="H16" s="4" t="str">
        <x:v>0</x:v>
      </x:c>
      <x:c r="I16" s="4" t="str">
        <x:v>當店鋪空間成為共學森林 🌳</x:v>
      </x:c>
      <x:c r="J16" s="4" t="str">
        <x:v>Staff/product-learning story; internal learning translated into sustainable product education.</x:v>
      </x:c>
      <x:c r="K16" s="4" t="str">
        <x:v>#SloFamily; #Behindthescene</x:v>
      </x:c>
      <x:c r="L16" s="4" t="str">
        <x:v>No comments yet</x:v>
      </x:c>
      <x:c r="M16" s="4" t="str">
        <x:v>Captured</x:v>
      </x:c>
      <x:c r="N16" s="4" t="str">
        <x:v>Logged-in Chrome audit; read-only capture.</x:v>
      </x:c>
    </x:row>
    <x:row r="17">
      <x:c r="A17" s="4" t="str">
        <x:v>XHS-01</x:v>
      </x:c>
      <x:c r="B17" s="4" t="str">
        <x:v>Xiaohongshu</x:v>
      </x:c>
      <x:c r="C17" s="4" t="str"/>
      <x:c r="D17" s="4" t="str"/>
      <x:c r="E17" s="4" t="str"/>
      <x:c r="F17" s="4" t="str"/>
      <x:c r="G17" s="4" t="str"/>
      <x:c r="H17" s="4" t="str"/>
      <x:c r="I17" s="4" t="str"/>
      <x:c r="J17" s="4" t="str"/>
      <x:c r="K17" s="4" t="str"/>
      <x:c r="L17" s="4" t="str"/>
      <x:c r="M17" s="4" t="str">
        <x:v>Need manual app/browser search</x:v>
      </x:c>
      <x:c r="N17" s="4" t="str">
        <x:v>Search Slowood / Slowood香港 / 香港裸买 / 香港环保购物 / 香港慢生活.</x:v>
      </x:c>
    </x:row>
    <x:row r="18">
      <x:c r="A18" s="4" t="str">
        <x:v>XHS-02</x:v>
      </x:c>
      <x:c r="B18" s="4" t="str">
        <x:v>Xiaohongshu</x:v>
      </x:c>
      <x:c r="C18" s="4" t="str"/>
      <x:c r="D18" s="4" t="str"/>
      <x:c r="E18" s="4" t="str"/>
      <x:c r="F18" s="4" t="str"/>
      <x:c r="G18" s="4" t="str"/>
      <x:c r="H18" s="4" t="str"/>
      <x:c r="I18" s="4" t="str"/>
      <x:c r="J18" s="4" t="str"/>
      <x:c r="K18" s="4" t="str"/>
      <x:c r="L18" s="4" t="str"/>
      <x:c r="M18" s="4" t="str">
        <x:v>Need manual app/browser search</x:v>
      </x:c>
      <x:c r="N18" s="4" t="str">
        <x:v>Record user-generated post angle, cover image subject, and phrase hooks.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s="3" t="str">
        <x:v>Brand</x:v>
      </x:c>
      <x:c r="B1" s="3" t="str">
        <x:v>Platform</x:v>
      </x:c>
      <x:c r="C1" s="3" t="str">
        <x:v>Post URL</x:v>
      </x:c>
      <x:c r="D1" s="3" t="str">
        <x:v>Date</x:v>
      </x:c>
      <x:c r="E1" s="3" t="str">
        <x:v>Content Type</x:v>
      </x:c>
      <x:c r="F1" s="3" t="str">
        <x:v>Format</x:v>
      </x:c>
      <x:c r="G1" s="3" t="str">
        <x:v>Likes</x:v>
      </x:c>
      <x:c r="H1" s="3" t="str">
        <x:v>Comments</x:v>
      </x:c>
      <x:c r="I1" s="3" t="str">
        <x:v>Caption Hook</x:v>
      </x:c>
      <x:c r="J1" s="3" t="str">
        <x:v>Visual Style</x:v>
      </x:c>
      <x:c r="K1" s="3" t="str">
        <x:v>Hashtags / Series</x:v>
      </x:c>
      <x:c r="L1" s="3" t="str">
        <x:v>Comment Themes</x:v>
      </x:c>
      <x:c r="M1" s="3" t="str">
        <x:v>Data Status</x:v>
      </x:c>
      <x:c r="N1" s="3" t="str">
        <x:v>Manual Capture Note</x:v>
      </x:c>
    </x:row>
    <x:row r="2">
      <x:c r="A2" s="4" t="str">
        <x:v>Live Zero</x:v>
      </x:c>
      <x:c r="B2" s="4" t="str">
        <x:v>Instagram</x:v>
      </x:c>
      <x:c r="C2" s="4" t="str">
        <x:v>https://www.instagram.com/livezero.hk/p/DYq-GvUn6wq/</x:v>
      </x:c>
      <x:c r="D2" s="4" t="str">
        <x:v>2026-05-23</x:v>
      </x:c>
      <x:c r="E2" s="4" t="str">
        <x:v>Store Update</x:v>
      </x:c>
      <x:c r="F2" s="4" t="str">
        <x:v>Static Image</x:v>
      </x:c>
      <x:c r="G2" s="4" t="str">
        <x:v>5</x:v>
      </x:c>
      <x:c r="H2" s="4" t="str">
        <x:v>0</x:v>
      </x:c>
      <x:c r="I2" s="4" t="str">
        <x:v>Shop closed for Buddha's Birthday; see you again Tuesday, 26 May.</x:v>
      </x:c>
      <x:c r="J2" s="4" t="str">
        <x:v>Static image; text-led operational notice.</x:v>
      </x:c>
      <x:c r="K2" s="4" t="str"/>
      <x:c r="L2" s="4" t="str">
        <x:v>No comments yet / low comment depth</x:v>
      </x:c>
      <x:c r="M2" s="4" t="str">
        <x:v>Captured</x:v>
      </x:c>
      <x:c r="N2" s="4" t="str">
        <x:v>Logged-in Chrome audit; read-only capture.</x:v>
      </x:c>
    </x:row>
    <x:row r="3">
      <x:c r="A3" s="4" t="str">
        <x:v>Live Zero</x:v>
      </x:c>
      <x:c r="B3" s="4" t="str">
        <x:v>Instagram</x:v>
      </x:c>
      <x:c r="C3" s="4" t="str">
        <x:v>https://www.instagram.com/livezero.hk/p/DX_UB1Vn6GP/</x:v>
      </x:c>
      <x:c r="D3" s="4" t="str">
        <x:v>2026-05-06</x:v>
      </x:c>
      <x:c r="E3" s="4" t="str">
        <x:v>Education</x:v>
      </x:c>
      <x:c r="F3" s="4" t="str">
        <x:v>Carousel</x:v>
      </x:c>
      <x:c r="G3" s="4" t="str">
        <x:v>11</x:v>
      </x:c>
      <x:c r="H3" s="4" t="str">
        <x:v>0</x:v>
      </x:c>
      <x:c r="I3" s="4" t="str">
        <x:v>Looking to try a new tea? Here are some of our favourites.</x:v>
      </x:c>
      <x:c r="J3" s="4" t="str">
        <x:v>Carousel; product/category guide for loose leaf, powdered and compostable tea bags.</x:v>
      </x:c>
      <x:c r="K3" s="4" t="str"/>
      <x:c r="L3" s="4" t="str">
        <x:v>No comments yet / low comment depth</x:v>
      </x:c>
      <x:c r="M3" s="4" t="str">
        <x:v>Captured</x:v>
      </x:c>
      <x:c r="N3" s="4" t="str">
        <x:v>Logged-in Chrome audit; read-only capture.</x:v>
      </x:c>
    </x:row>
    <x:row r="4">
      <x:c r="A4" s="4" t="str">
        <x:v>Live Zero</x:v>
      </x:c>
      <x:c r="B4" s="4" t="str">
        <x:v>Instagram</x:v>
      </x:c>
      <x:c r="C4" s="4" t="str">
        <x:v>https://www.instagram.com/livezero.hk/reel/DXgP11okSC5/</x:v>
      </x:c>
      <x:c r="D4" s="4" t="str">
        <x:v>2026-04-24</x:v>
      </x:c>
      <x:c r="E4" s="4" t="str">
        <x:v>Lifestyle</x:v>
      </x:c>
      <x:c r="F4" s="4" t="str">
        <x:v>Reel</x:v>
      </x:c>
      <x:c r="G4" s="4" t="str"/>
      <x:c r="H4" s="4" t="str"/>
      <x:c r="I4" s="4" t="str">
        <x:v>Sounds of an eco warrior's daily rhythm: grains, jars, scale, paper bags and bulk bins.</x:v>
      </x:c>
      <x:c r="J4" s="4" t="str">
        <x:v>Reel; process/lifestyle ASMR showing zero-waste shopping ritual.</x:v>
      </x:c>
      <x:c r="K4" s="4" t="str">
        <x:v>#LiveZero; #zerowaste; #ecofriendly; #bulkshopping; #ecowarrior; #asmr</x:v>
      </x:c>
      <x:c r="L4" s="4" t="str">
        <x:v>Like/comment counts not reliably visible</x:v>
      </x:c>
      <x:c r="M4" s="4" t="str">
        <x:v>Captured</x:v>
      </x:c>
      <x:c r="N4" s="4" t="str">
        <x:v>Logged-in Chrome audit; read-only capture. Reel interaction fields were not reliably exposed.</x:v>
      </x:c>
    </x:row>
    <x:row r="5">
      <x:c r="A5" s="4" t="str">
        <x:v>Live Zero</x:v>
      </x:c>
      <x:c r="B5" s="4" t="str">
        <x:v>Instagram</x:v>
      </x:c>
      <x:c r="C5" s="4" t="str">
        <x:v>https://www.instagram.com/livezero.hk/p/DXbIpnRn9J8/</x:v>
      </x:c>
      <x:c r="D5" s="4" t="str">
        <x:v>2026-04-22</x:v>
      </x:c>
      <x:c r="E5" s="4" t="str">
        <x:v>Education</x:v>
      </x:c>
      <x:c r="F5" s="4" t="str">
        <x:v>Carousel</x:v>
      </x:c>
      <x:c r="G5" s="4" t="str">
        <x:v>15</x:v>
      </x:c>
      <x:c r="H5" s="4" t="str">
        <x:v>0</x:v>
      </x:c>
      <x:c r="I5" s="4" t="str">
        <x:v>Trying to avoid microplastics in your food? Swap out supermarket plastic grinders.</x:v>
      </x:c>
      <x:c r="J5" s="4" t="str">
        <x:v>Carousel; text-led plastic-free salt and pepper mill education.</x:v>
      </x:c>
      <x:c r="K5" s="4" t="str"/>
      <x:c r="L5" s="4" t="str">
        <x:v>No comments yet / low comment depth</x:v>
      </x:c>
      <x:c r="M5" s="4" t="str">
        <x:v>Captured</x:v>
      </x:c>
      <x:c r="N5" s="4" t="str">
        <x:v>Logged-in Chrome audit; read-only capture.</x:v>
      </x:c>
    </x:row>
    <x:row r="6">
      <x:c r="A6" s="4" t="str">
        <x:v>Live Zero</x:v>
      </x:c>
      <x:c r="B6" s="4" t="str">
        <x:v>Instagram</x:v>
      </x:c>
      <x:c r="C6" s="4" t="str">
        <x:v>https://www.instagram.com/livezero.hk/p/DXOJLf3HyQv/</x:v>
      </x:c>
      <x:c r="D6" s="4" t="str">
        <x:v>2026-04-17</x:v>
      </x:c>
      <x:c r="E6" s="4" t="str">
        <x:v>Education</x:v>
      </x:c>
      <x:c r="F6" s="4" t="str">
        <x:v>Carousel</x:v>
      </x:c>
      <x:c r="G6" s="4" t="str"/>
      <x:c r="H6" s="4" t="str"/>
      <x:c r="I6" s="4" t="str">
        <x:v>Welcoming glass jar donations; jars are given back to the local community.</x:v>
      </x:c>
      <x:c r="J6" s="4" t="str">
        <x:v>Carousel; community reuse and jar donation guide.</x:v>
      </x:c>
      <x:c r="K6" s="4" t="str"/>
      <x:c r="L6" s="4" t="str">
        <x:v>Like/comment counts not reliably visible</x:v>
      </x:c>
      <x:c r="M6" s="4" t="str">
        <x:v>Captured</x:v>
      </x:c>
      <x:c r="N6" s="4" t="str">
        <x:v>Logged-in Chrome audit; read-only capture. Interaction fields were not reliably exposed.</x:v>
      </x:c>
    </x:row>
    <x:row r="7">
      <x:c r="A7" s="4" t="str">
        <x:v>Live Zero</x:v>
      </x:c>
      <x:c r="B7" s="4" t="str">
        <x:v>Instagram</x:v>
      </x:c>
      <x:c r="C7" s="4" t="str">
        <x:v>https://www.instagram.com/livezero.hk/p/DW8K1IJke33/</x:v>
      </x:c>
      <x:c r="D7" s="4" t="str">
        <x:v>2026-04-10</x:v>
      </x:c>
      <x:c r="E7" s="4" t="str">
        <x:v>Education</x:v>
      </x:c>
      <x:c r="F7" s="4" t="str">
        <x:v>Carousel</x:v>
      </x:c>
      <x:c r="G7" s="4" t="str">
        <x:v>21</x:v>
      </x:c>
      <x:c r="H7" s="4" t="str">
        <x:v>0</x:v>
      </x:c>
      <x:c r="I7" s="4" t="str">
        <x:v>Who says refilling is complicated? Herb and spice refill station steps.</x:v>
      </x:c>
      <x:c r="J7" s="4" t="str">
        <x:v>Carousel; practical refill tutorial with bring-container and staff-assisted steps.</x:v>
      </x:c>
      <x:c r="K7" s="4" t="str"/>
      <x:c r="L7" s="4" t="str">
        <x:v>No comments yet / low comment depth</x:v>
      </x:c>
      <x:c r="M7" s="4" t="str">
        <x:v>Captured</x:v>
      </x:c>
      <x:c r="N7" s="4" t="str">
        <x:v>Logged-in Chrome audit; read-only capture.</x:v>
      </x:c>
    </x:row>
    <x:row r="8">
      <x:c r="A8" s="4" t="str">
        <x:v>Live Zero</x:v>
      </x:c>
      <x:c r="B8" s="4" t="str">
        <x:v>Instagram</x:v>
      </x:c>
      <x:c r="C8" s="4" t="str">
        <x:v>https://www.instagram.com/livezero.hk/p/DWnkpiiEbkW/</x:v>
      </x:c>
      <x:c r="D8" s="4" t="str">
        <x:v>2026-04-02</x:v>
      </x:c>
      <x:c r="E8" s="4" t="str">
        <x:v>Product</x:v>
      </x:c>
      <x:c r="F8" s="4" t="str">
        <x:v>Carousel</x:v>
      </x:c>
      <x:c r="G8" s="4" t="str">
        <x:v>28</x:v>
      </x:c>
      <x:c r="H8" s="4" t="str">
        <x:v>0</x:v>
      </x:c>
      <x:c r="I8" s="4" t="str">
        <x:v>New batch of brushes delivered with absolutely no plastic packaging.</x:v>
      </x:c>
      <x:c r="J8" s="4" t="str">
        <x:v>Carousel; product arrival framed through plastic-free packaging proof.</x:v>
      </x:c>
      <x:c r="K8" s="4" t="str"/>
      <x:c r="L8" s="4" t="str">
        <x:v>No comments yet / low comment depth</x:v>
      </x:c>
      <x:c r="M8" s="4" t="str">
        <x:v>Captured</x:v>
      </x:c>
      <x:c r="N8" s="4" t="str">
        <x:v>Logged-in Chrome audit; read-only capture.</x:v>
      </x:c>
    </x:row>
    <x:row r="9">
      <x:c r="A9" s="4" t="str">
        <x:v>Live Zero</x:v>
      </x:c>
      <x:c r="B9" s="4" t="str">
        <x:v>Instagram</x:v>
      </x:c>
      <x:c r="C9" s="4" t="str">
        <x:v>https://www.instagram.com/livezero.hk/reel/DWVRjflEYcg/</x:v>
      </x:c>
      <x:c r="D9" s="4" t="str">
        <x:v>2026-03-26</x:v>
      </x:c>
      <x:c r="E9" s="4" t="str">
        <x:v>Product</x:v>
      </x:c>
      <x:c r="F9" s="4" t="str">
        <x:v>Reel</x:v>
      </x:c>
      <x:c r="G9" s="4" t="str">
        <x:v>13</x:v>
      </x:c>
      <x:c r="H9" s="4" t="str">
        <x:v>0</x:v>
      </x:c>
      <x:c r="I9" s="4" t="str">
        <x:v>See what's in a small vegetable basket; eat local and support farmers.</x:v>
      </x:c>
      <x:c r="J9" s="4" t="str">
        <x:v>Reel; local vegetable basket product/use-case content.</x:v>
      </x:c>
      <x:c r="K9" s="4" t="str"/>
      <x:c r="L9" s="4" t="str">
        <x:v>No comments yet / low comment depth</x:v>
      </x:c>
      <x:c r="M9" s="4" t="str">
        <x:v>Captured</x:v>
      </x:c>
      <x:c r="N9" s="4" t="str">
        <x:v>Logged-in Chrome audit; read-only capture.</x:v>
      </x:c>
    </x:row>
    <x:row r="10">
      <x:c r="A10" s="4" t="str">
        <x:v>Live Zero</x:v>
      </x:c>
      <x:c r="B10" s="4" t="str">
        <x:v>Instagram</x:v>
      </x:c>
      <x:c r="C10" s="4" t="str">
        <x:v>https://www.instagram.com/livezero.hk/p/DWAstWMETgY/</x:v>
      </x:c>
      <x:c r="D10" s="4" t="str">
        <x:v>2026-03-18</x:v>
      </x:c>
      <x:c r="E10" s="4" t="str">
        <x:v>Product</x:v>
      </x:c>
      <x:c r="F10" s="4" t="str">
        <x:v>Carousel</x:v>
      </x:c>
      <x:c r="G10" s="4" t="str">
        <x:v>19</x:v>
      </x:c>
      <x:c r="H10" s="4" t="str">
        <x:v>0</x:v>
      </x:c>
      <x:c r="I10" s="4" t="str">
        <x:v>New product: leak-proof stainless steel lunchbox for busy families on the go.</x:v>
      </x:c>
      <x:c r="J10" s="4" t="str">
        <x:v>Carousel; reusable lunchbox product feature and convenience use case.</x:v>
      </x:c>
      <x:c r="K10" s="4" t="str"/>
      <x:c r="L10" s="4" t="str">
        <x:v>No comments yet / low comment depth</x:v>
      </x:c>
      <x:c r="M10" s="4" t="str">
        <x:v>Captured</x:v>
      </x:c>
      <x:c r="N10" s="4" t="str">
        <x:v>Logged-in Chrome audit; read-only capture.</x:v>
      </x:c>
    </x:row>
    <x:row r="11">
      <x:c r="A11" s="4" t="str">
        <x:v>Live Zero</x:v>
      </x:c>
      <x:c r="B11" s="4" t="str">
        <x:v>Instagram</x:v>
      </x:c>
      <x:c r="C11" s="4" t="str">
        <x:v>https://www.instagram.com/livezero.hk/reel/DV2Ud3REWJ6/</x:v>
      </x:c>
      <x:c r="D11" s="4" t="str">
        <x:v>2026-03-14</x:v>
      </x:c>
      <x:c r="E11" s="4" t="str">
        <x:v>Product</x:v>
      </x:c>
      <x:c r="F11" s="4" t="str">
        <x:v>Reel</x:v>
      </x:c>
      <x:c r="G11" s="4" t="str">
        <x:v>10</x:v>
      </x:c>
      <x:c r="H11" s="4" t="str">
        <x:v>0</x:v>
      </x:c>
      <x:c r="I11" s="4" t="str">
        <x:v>New products just in: acacia salt and pepper mill and other eco-friendly finds.</x:v>
      </x:c>
      <x:c r="J11" s="4" t="str">
        <x:v>Reel; new-product roundup with practical sustainable swaps.</x:v>
      </x:c>
      <x:c r="K11" s="4" t="str"/>
      <x:c r="L11" s="4" t="str">
        <x:v>No comments yet / low comment depth</x:v>
      </x:c>
      <x:c r="M11" s="4" t="str">
        <x:v>Captured</x:v>
      </x:c>
      <x:c r="N11" s="4" t="str">
        <x:v>Logged-in Chrome audit; read-only capture.</x:v>
      </x:c>
    </x:row>
    <x:row r="12">
      <x:c r="A12" s="4" t="str">
        <x:v>The Bulkshoppers</x:v>
      </x:c>
      <x:c r="B12" s="4" t="str">
        <x:v>Instagram</x:v>
      </x:c>
      <x:c r="C12" s="4" t="str">
        <x:v>https://www.instagram.com/thebulkshoppers/p/DZMzWQMn_Cj/</x:v>
      </x:c>
      <x:c r="D12" s="4" t="str">
        <x:v>2026-06-05</x:v>
      </x:c>
      <x:c r="E12" s="4" t="str">
        <x:v>Store Update</x:v>
      </x:c>
      <x:c r="F12" s="4" t="str">
        <x:v>Carousel</x:v>
      </x:c>
      <x:c r="G12" s="4" t="str">
        <x:v>10</x:v>
      </x:c>
      <x:c r="H12" s="4" t="str">
        <x:v>0</x:v>
      </x:c>
      <x:c r="I12" s="4" t="str">
        <x:v>有菜訂: Sunday pickup at 動動畫室 with seasonal vegetables and local add-ons.</x:v>
      </x:c>
      <x:c r="J12" s="4" t="str">
        <x:v>Carousel; dense text-led order menu and pickup logistics.</x:v>
      </x:c>
      <x:c r="K12" s="4" t="str"/>
      <x:c r="L12" s="4" t="str">
        <x:v>No comments yet / low comment depth</x:v>
      </x:c>
      <x:c r="M12" s="4" t="str">
        <x:v>Captured</x:v>
      </x:c>
      <x:c r="N12" s="4" t="str">
        <x:v>Logged-in Chrome audit; read-only capture.</x:v>
      </x:c>
    </x:row>
    <x:row r="13">
      <x:c r="A13" s="4" t="str">
        <x:v>The Bulkshoppers</x:v>
      </x:c>
      <x:c r="B13" s="4" t="str">
        <x:v>Instagram</x:v>
      </x:c>
      <x:c r="C13" s="4" t="str">
        <x:v>https://www.instagram.com/thebulkshoppers/p/DZE7QnKH9mt/</x:v>
      </x:c>
      <x:c r="D13" s="4" t="str">
        <x:v>2026-06-02</x:v>
      </x:c>
      <x:c r="E13" s="4" t="str">
        <x:v>Store Update</x:v>
      </x:c>
      <x:c r="F13" s="4" t="str">
        <x:v>Carousel</x:v>
      </x:c>
      <x:c r="G13" s="4" t="str"/>
      <x:c r="H13" s="4" t="str"/>
      <x:c r="I13" s="4" t="str">
        <x:v>有菜訂: Thursday pickup at Pico Cafe with eggplant and basil harvest updates.</x:v>
      </x:c>
      <x:c r="J13" s="4" t="str">
        <x:v>Carousel; operational order menu and pickup logistics.</x:v>
      </x:c>
      <x:c r="K13" s="4" t="str"/>
      <x:c r="L13" s="4" t="str">
        <x:v>Like/comment counts not reliably visible</x:v>
      </x:c>
      <x:c r="M13" s="4" t="str">
        <x:v>Captured</x:v>
      </x:c>
      <x:c r="N13" s="4" t="str">
        <x:v>Logged-in Chrome audit; read-only capture. Interaction fields were not reliably exposed.</x:v>
      </x:c>
    </x:row>
    <x:row r="14">
      <x:c r="A14" s="4" t="str">
        <x:v>The Bulkshoppers</x:v>
      </x:c>
      <x:c r="B14" s="4" t="str">
        <x:v>Instagram</x:v>
      </x:c>
      <x:c r="C14" s="4" t="str">
        <x:v>https://www.instagram.com/thebulkshoppers/p/DY6sLpcja3v/</x:v>
      </x:c>
      <x:c r="D14" s="4" t="str">
        <x:v>2026-05-29</x:v>
      </x:c>
      <x:c r="E14" s="4" t="str">
        <x:v>Store Update</x:v>
      </x:c>
      <x:c r="F14" s="4" t="str">
        <x:v>Carousel</x:v>
      </x:c>
      <x:c r="G14" s="4" t="str">
        <x:v>13</x:v>
      </x:c>
      <x:c r="H14" s="4" t="str">
        <x:v>0</x:v>
      </x:c>
      <x:c r="I14" s="4" t="str">
        <x:v>有菜訂: Sunday pickup with summer melon and seasonal vegetable notes.</x:v>
      </x:c>
      <x:c r="J14" s="4" t="str">
        <x:v>Carousel; local produce ordering and seasonal food education.</x:v>
      </x:c>
      <x:c r="K14" s="4" t="str"/>
      <x:c r="L14" s="4" t="str">
        <x:v>No comments yet / low comment depth</x:v>
      </x:c>
      <x:c r="M14" s="4" t="str">
        <x:v>Captured</x:v>
      </x:c>
      <x:c r="N14" s="4" t="str">
        <x:v>Logged-in Chrome audit; read-only capture.</x:v>
      </x:c>
    </x:row>
    <x:row r="15">
      <x:c r="A15" s="4" t="str">
        <x:v>The Bulkshoppers</x:v>
      </x:c>
      <x:c r="B15" s="4" t="str">
        <x:v>Instagram</x:v>
      </x:c>
      <x:c r="C15" s="4" t="str">
        <x:v>https://www.instagram.com/thebulkshoppers/p/DYzYDEaubxY/</x:v>
      </x:c>
      <x:c r="D15" s="4" t="str">
        <x:v>2026-05-26</x:v>
      </x:c>
      <x:c r="E15" s="4" t="str">
        <x:v>Store Update</x:v>
      </x:c>
      <x:c r="F15" s="4" t="str">
        <x:v>Static Image</x:v>
      </x:c>
      <x:c r="G15" s="4" t="str"/>
      <x:c r="H15" s="4" t="str"/>
      <x:c r="I15" s="4" t="str">
        <x:v>Last chance before shop break; daily supplies, rice dumplings and yogurt orders continue.</x:v>
      </x:c>
      <x:c r="J15" s="4" t="str">
        <x:v>Static image; opening/ordering reminder with casual community tone.</x:v>
      </x:c>
      <x:c r="K15" s="4" t="str"/>
      <x:c r="L15" s="4" t="str">
        <x:v>Like/comment counts not reliably visible</x:v>
      </x:c>
      <x:c r="M15" s="4" t="str">
        <x:v>Captured</x:v>
      </x:c>
      <x:c r="N15" s="4" t="str">
        <x:v>Logged-in Chrome audit; read-only capture. Interaction fields were not reliably exposed.</x:v>
      </x:c>
    </x:row>
    <x:row r="16">
      <x:c r="A16" s="4" t="str">
        <x:v>The Bulkshoppers</x:v>
      </x:c>
      <x:c r="B16" s="4" t="str">
        <x:v>Instagram</x:v>
      </x:c>
      <x:c r="C16" s="4" t="str">
        <x:v>https://www.instagram.com/thebulkshoppers/p/DYzCEP_H-Ax/</x:v>
      </x:c>
      <x:c r="D16" s="4" t="str">
        <x:v>2026-05-26</x:v>
      </x:c>
      <x:c r="E16" s="4" t="str">
        <x:v>Store Update</x:v>
      </x:c>
      <x:c r="F16" s="4" t="str">
        <x:v>Carousel</x:v>
      </x:c>
      <x:c r="G16" s="4" t="str"/>
      <x:c r="H16" s="4" t="str"/>
      <x:c r="I16" s="4" t="str">
        <x:v>有菜訂: Thursday Pico Cafe pickup; summer farm harvest and order details.</x:v>
      </x:c>
      <x:c r="J16" s="4" t="str">
        <x:v>Carousel; operational order menu and pickup logistics.</x:v>
      </x:c>
      <x:c r="K16" s="4" t="str"/>
      <x:c r="L16" s="4" t="str">
        <x:v>Like/comment counts not reliably visible</x:v>
      </x:c>
      <x:c r="M16" s="4" t="str">
        <x:v>Captured</x:v>
      </x:c>
      <x:c r="N16" s="4" t="str">
        <x:v>Logged-in Chrome audit; read-only capture. Interaction fields were not reliably exposed.</x:v>
      </x:c>
    </x:row>
    <x:row r="17">
      <x:c r="A17" s="4" t="str">
        <x:v>The Bulkshoppers</x:v>
      </x:c>
      <x:c r="B17" s="4" t="str">
        <x:v>Instagram</x:v>
      </x:c>
      <x:c r="C17" s="4" t="str">
        <x:v>https://www.instagram.com/thebulkshoppers/p/DYuRfPQn-yy/</x:v>
      </x:c>
      <x:c r="D17" s="4" t="str">
        <x:v>2026-05-24</x:v>
      </x:c>
      <x:c r="E17" s="4" t="str">
        <x:v>Product</x:v>
      </x:c>
      <x:c r="F17" s="4" t="str">
        <x:v>Carousel</x:v>
      </x:c>
      <x:c r="G17" s="4" t="str"/>
      <x:c r="H17" s="4" t="str">
        <x:v>0</x:v>
      </x:c>
      <x:c r="I17" s="4" t="str">
        <x:v>Shop break vegetable-order arrangement: Thursday and Sunday pickup schedule.</x:v>
      </x:c>
      <x:c r="J17" s="4" t="str">
        <x:v>Carousel; map/schedule style product-order logistics.</x:v>
      </x:c>
      <x:c r="K17" s="4" t="str"/>
      <x:c r="L17" s="4" t="str">
        <x:v>No comments yet / low comment depth; likes not reliably visible</x:v>
      </x:c>
      <x:c r="M17" s="4" t="str">
        <x:v>Captured</x:v>
      </x:c>
      <x:c r="N17" s="4" t="str">
        <x:v>Logged-in Chrome audit; read-only capture.</x:v>
      </x:c>
    </x:row>
    <x:row r="18">
      <x:c r="A18" s="4" t="str">
        <x:v>The Bulkshoppers</x:v>
      </x:c>
      <x:c r="B18" s="4" t="str">
        <x:v>Instagram</x:v>
      </x:c>
      <x:c r="C18" s="4" t="str">
        <x:v>https://www.instagram.com/thebulkshoppers/p/DYpIFb8n15E/</x:v>
      </x:c>
      <x:c r="D18" s="4" t="str">
        <x:v>2026-05-22</x:v>
      </x:c>
      <x:c r="E18" s="4" t="str">
        <x:v>Education</x:v>
      </x:c>
      <x:c r="F18" s="4" t="str">
        <x:v>Carousel</x:v>
      </x:c>
      <x:c r="G18" s="4" t="str"/>
      <x:c r="H18" s="4" t="str">
        <x:v>0</x:v>
      </x:c>
      <x:c r="I18" s="4" t="str">
        <x:v>艾草 seasonal ingredient story and product/order context.</x:v>
      </x:c>
      <x:c r="J18" s="4" t="str">
        <x:v>Carousel; text-heavy ingredient education tied to seasonal local products.</x:v>
      </x:c>
      <x:c r="K18" s="4" t="str"/>
      <x:c r="L18" s="4" t="str">
        <x:v>No comments yet / low comment depth; likes not reliably visible</x:v>
      </x:c>
      <x:c r="M18" s="4" t="str">
        <x:v>Captured</x:v>
      </x:c>
      <x:c r="N18" s="4" t="str">
        <x:v>Logged-in Chrome audit; read-only capture.</x:v>
      </x:c>
    </x:row>
    <x:row r="19">
      <x:c r="A19" s="4" t="str">
        <x:v>The Bulkshoppers</x:v>
      </x:c>
      <x:c r="B19" s="4" t="str">
        <x:v>Instagram</x:v>
      </x:c>
      <x:c r="C19" s="4" t="str">
        <x:v>https://www.instagram.com/thebulkshoppers/p/DYosfuGn-yY/</x:v>
      </x:c>
      <x:c r="D19" s="4" t="str">
        <x:v>2026-05-22</x:v>
      </x:c>
      <x:c r="E19" s="4" t="str">
        <x:v>Store Update</x:v>
      </x:c>
      <x:c r="F19" s="4" t="str">
        <x:v>Carousel</x:v>
      </x:c>
      <x:c r="G19" s="4" t="str"/>
      <x:c r="H19" s="4" t="str">
        <x:v>0</x:v>
      </x:c>
      <x:c r="I19" s="4" t="str">
        <x:v>有菜訂: summer melon harvest and order details.</x:v>
      </x:c>
      <x:c r="J19" s="4" t="str">
        <x:v>Carousel; dense order menu with seasonal produce explanation.</x:v>
      </x:c>
      <x:c r="K19" s="4" t="str"/>
      <x:c r="L19" s="4" t="str">
        <x:v>No comments yet / low comment depth; likes not reliably visible</x:v>
      </x:c>
      <x:c r="M19" s="4" t="str">
        <x:v>Captured</x:v>
      </x:c>
      <x:c r="N19" s="4" t="str">
        <x:v>Logged-in Chrome audit; read-only capture.</x:v>
      </x:c>
    </x:row>
    <x:row r="20">
      <x:c r="A20" s="4" t="str">
        <x:v>The Bulkshoppers</x:v>
      </x:c>
      <x:c r="B20" s="4" t="str">
        <x:v>Instagram</x:v>
      </x:c>
      <x:c r="C20" s="4" t="str">
        <x:v>https://www.instagram.com/thebulkshoppers/p/DYn_B0Xn8ok/</x:v>
      </x:c>
      <x:c r="D20" s="4" t="str">
        <x:v>2026-05-22</x:v>
      </x:c>
      <x:c r="E20" s="4" t="str">
        <x:v>Product</x:v>
      </x:c>
      <x:c r="F20" s="4" t="str">
        <x:v>Carousel</x:v>
      </x:c>
      <x:c r="G20" s="4" t="str"/>
      <x:c r="H20" s="4" t="str">
        <x:v>0</x:v>
      </x:c>
      <x:c r="I20" s="4" t="str">
        <x:v>香港製造鮮製乳酪裸買團; bring your own clean container for pickup.</x:v>
      </x:c>
      <x:c r="J20" s="4" t="str">
        <x:v>Carousel; naked-buying group order with BYO container instruction.</x:v>
      </x:c>
      <x:c r="K20" s="4" t="str"/>
      <x:c r="L20" s="4" t="str">
        <x:v>No comments yet / low comment depth; likes not reliably visible</x:v>
      </x:c>
      <x:c r="M20" s="4" t="str">
        <x:v>Captured</x:v>
      </x:c>
      <x:c r="N20" s="4" t="str">
        <x:v>Logged-in Chrome audit; read-only capture.</x:v>
      </x:c>
    </x:row>
    <x:row r="21">
      <x:c r="A21" s="4" t="str">
        <x:v>The Bulkshoppers</x:v>
      </x:c>
      <x:c r="B21" s="4" t="str">
        <x:v>Instagram</x:v>
      </x:c>
      <x:c r="C21" s="4" t="str">
        <x:v>https://www.instagram.com/thebulkshoppers/p/DYhN2x_HwOq/</x:v>
      </x:c>
      <x:c r="D21" s="4" t="str">
        <x:v>2026-05-19</x:v>
      </x:c>
      <x:c r="E21" s="4" t="str">
        <x:v>Store Update</x:v>
      </x:c>
      <x:c r="F21" s="4" t="str">
        <x:v>Carousel</x:v>
      </x:c>
      <x:c r="G21" s="4" t="str"/>
      <x:c r="H21" s="4" t="str"/>
      <x:c r="I21" s="4" t="str">
        <x:v>有菜訂: menu update including book/product add-on and weekly produce context.</x:v>
      </x:c>
      <x:c r="J21" s="4" t="str">
        <x:v>Carousel; community menu/order update.</x:v>
      </x:c>
      <x:c r="K21" s="4" t="str"/>
      <x:c r="L21" s="4" t="str">
        <x:v>Like/comment counts not reliably visible</x:v>
      </x:c>
      <x:c r="M21" s="4" t="str">
        <x:v>Captured</x:v>
      </x:c>
      <x:c r="N21" s="4" t="str">
        <x:v>Logged-in Chrome audit; read-only capture. Interaction fields were not reliably exposed.</x:v>
      </x:c>
    </x:row>
    <x:row r="22">
      <x:c r="A22" s="4" t="str">
        <x:v>Green Common</x:v>
      </x:c>
      <x:c r="B22" s="4" t="str">
        <x:v>Instagram</x:v>
      </x:c>
      <x:c r="C22" s="4" t="str"/>
      <x:c r="D22" s="4" t="str"/>
      <x:c r="E22" s="4" t="str"/>
      <x:c r="F22" s="4" t="str"/>
      <x:c r="G22" s="4" t="str"/>
      <x:c r="H22" s="4" t="str"/>
      <x:c r="I22" s="4" t="str"/>
      <x:c r="J22" s="4" t="str"/>
      <x:c r="K22" s="4" t="str"/>
      <x:c r="L22" s="4" t="str"/>
      <x:c r="M22" s="4" t="str">
        <x:v>Need login/manual capture</x:v>
      </x:c>
      <x:c r="N22" s="4" t="str">
        <x:v>Capture latest 10-15 posts from @green_common or @omnifoods.hk as use-case benchmark.</x:v>
      </x:c>
    </x:row>
    <x:row r="23">
      <x:c r="A23" s="4" t="str">
        <x:v>Green Common</x:v>
      </x:c>
      <x:c r="B23" s="4" t="str">
        <x:v>Instagram</x:v>
      </x:c>
      <x:c r="C23" s="4" t="str"/>
      <x:c r="D23" s="4" t="str"/>
      <x:c r="E23" s="4" t="str"/>
      <x:c r="F23" s="4" t="str"/>
      <x:c r="G23" s="4" t="str"/>
      <x:c r="H23" s="4" t="str"/>
      <x:c r="I23" s="4" t="str"/>
      <x:c r="J23" s="4" t="str"/>
      <x:c r="K23" s="4" t="str"/>
      <x:c r="L23" s="4" t="str"/>
      <x:c r="M23" s="4" t="str">
        <x:v>Need login/manual capture</x:v>
      </x:c>
      <x:c r="N23" s="4" t="str">
        <x:v>Code recipe / product use case / influencer / education / promo.</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s="3" t="str">
        <x:v>Sample ID</x:v>
      </x:c>
      <x:c r="B1" s="3" t="str">
        <x:v>Search Keyword</x:v>
      </x:c>
      <x:c r="C1" s="3" t="str">
        <x:v>Note URL / ID</x:v>
      </x:c>
      <x:c r="D1" s="3" t="str">
        <x:v>Date</x:v>
      </x:c>
      <x:c r="E1" s="3" t="str">
        <x:v>Title Hook</x:v>
      </x:c>
      <x:c r="F1" s="3" t="str">
        <x:v>Cover Visual</x:v>
      </x:c>
      <x:c r="G1" s="3" t="str">
        <x:v>Likes / Saves</x:v>
      </x:c>
      <x:c r="H1" s="3" t="str">
        <x:v>Comments</x:v>
      </x:c>
      <x:c r="I1" s="3" t="str">
        <x:v>User Motivation</x:v>
      </x:c>
      <x:c r="J1" s="3" t="str">
        <x:v>Mentioned Barrier</x:v>
      </x:c>
      <x:c r="K1" s="3" t="str">
        <x:v>Shareable Hook</x:v>
      </x:c>
      <x:c r="L1" s="3" t="str">
        <x:v>Data Status</x:v>
      </x:c>
      <x:c r="M1" s="3" t="str">
        <x:v>Manual Capture Note</x:v>
      </x:c>
    </x:row>
    <x:row r="2">
      <x:c r="A2" s="4" t="str">
        <x:v>XHS-AUTO-01</x:v>
      </x:c>
      <x:c r="B2" s="4" t="str">
        <x:v>Slowood</x:v>
      </x:c>
      <x:c r="C2" s="4" t="str">
        <x:v>https://www.xiaohongshu.com/search_result/699e7c350000000015021694?xsec_token=ABZDrZYyxJNAvV1Xn3PhAJrzrZxs-0auSeY_mnF-89yy0=&amp;xsec_source=</x:v>
      </x:c>
      <x:c r="D2" s="4" t="str">
        <x:v>02-25</x:v>
      </x:c>
      <x:c r="E2" s="4" t="str">
        <x:v>香港🇭🇰Slowood必买清单！看这一篇就够了</x:v>
      </x:c>
      <x:c r="F2" s="4" t="str">
        <x:v>Product haul / must-buy item flat-lay likely</x:v>
      </x:c>
      <x:c r="G2" s="4" t="str">
        <x:v>464</x:v>
      </x:c>
      <x:c r="H2" s="4" t="str"/>
      <x:c r="I2" s="4" t="str">
        <x:v>Product discovery / must-buy list</x:v>
      </x:c>
      <x:c r="J2" s="4" t="str"/>
      <x:c r="K2" s="4" t="str">
        <x:v>Saveable must-buy list for Hong Kong shopping</x:v>
      </x:c>
      <x:c r="L2" s="4" t="str">
        <x:v>Captured</x:v>
      </x:c>
      <x:c r="M2" s="4" t="str">
        <x:v>Logged-in Xiaohongshu search result. Author: Cherry的香港日记.</x:v>
      </x:c>
    </x:row>
    <x:row r="3">
      <x:c r="A3" s="4" t="str">
        <x:v>XHS-AUTO-02</x:v>
      </x:c>
      <x:c r="B3" s="4" t="str">
        <x:v>Slowood</x:v>
      </x:c>
      <x:c r="C3" s="4" t="str">
        <x:v>https://www.xiaohongshu.com/search_result/68b6d50e000000001b03d029?xsec_token=AB6zg20eIhgBqH9JGnzcax4NY0ktMhwWImPGm7VwYJ8_k=&amp;xsec_source=</x:v>
      </x:c>
      <x:c r="D3" s="4" t="str">
        <x:v>2025-09-02</x:v>
      </x:c>
      <x:c r="E3" s="4" t="str">
        <x:v>香港宝藏店铺｜Slowood🌿购物攻略</x:v>
      </x:c>
      <x:c r="F3" s="4" t="str">
        <x:v>Store interior / shelf / route cover likely</x:v>
      </x:c>
      <x:c r="G3" s="4" t="str">
        <x:v>930</x:v>
      </x:c>
      <x:c r="H3" s="4" t="str"/>
      <x:c r="I3" s="4" t="str">
        <x:v>Store visit / route guide</x:v>
      </x:c>
      <x:c r="J3" s="4" t="str"/>
      <x:c r="K3" s="4" t="str">
        <x:v>Treasure-shop framing for visit planning</x:v>
      </x:c>
      <x:c r="L3" s="4" t="str">
        <x:v>Captured</x:v>
      </x:c>
      <x:c r="M3" s="4" t="str">
        <x:v>Logged-in Xiaohongshu search result. Author: 安娜Anna🍊.</x:v>
      </x:c>
    </x:row>
    <x:row r="4">
      <x:c r="A4" s="4" t="str">
        <x:v>XHS-AUTO-03</x:v>
      </x:c>
      <x:c r="B4" s="4" t="str">
        <x:v>Slowood</x:v>
      </x:c>
      <x:c r="C4" s="4" t="str">
        <x:v>https://www.xiaohongshu.com/search_result/69704fc3000000001a030d19?xsec_token=ABk-GO3aNQQOsl4aLT8LCQNJq8gKBF-BmshNt-Msjs1as=&amp;xsec_source=</x:v>
      </x:c>
      <x:c r="D4" s="4" t="str">
        <x:v>06-01</x:v>
      </x:c>
      <x:c r="E4" s="4" t="str">
        <x:v>香港🇭🇰slowood这个香氛滚珠真的无限回购</x:v>
      </x:c>
      <x:c r="F4" s="4" t="str">
        <x:v>Fragrance/incense product cover likely</x:v>
      </x:c>
      <x:c r="G4" s="4" t="str">
        <x:v>430</x:v>
      </x:c>
      <x:c r="H4" s="4" t="str"/>
      <x:c r="I4" s="4" t="str">
        <x:v>Fragrance / sensory product</x:v>
      </x:c>
      <x:c r="J4" s="4" t="str"/>
      <x:c r="K4" s="4" t="str">
        <x:v>Specific repeat-purchase scent product hook</x:v>
      </x:c>
      <x:c r="L4" s="4" t="str">
        <x:v>Captured</x:v>
      </x:c>
      <x:c r="M4" s="4" t="str">
        <x:v>Logged-in Xiaohongshu search result. Author: 瑶瑶子手工（帮助流浪动物）.</x:v>
      </x:c>
    </x:row>
    <x:row r="5">
      <x:c r="A5" s="4" t="str">
        <x:v>XHS-AUTO-04</x:v>
      </x:c>
      <x:c r="B5" s="4" t="str">
        <x:v>Slowood</x:v>
      </x:c>
      <x:c r="C5" s="4" t="str">
        <x:v>https://www.xiaohongshu.com/search_result/68ca34290000000013018be6?xsec_token=ABKpKQULHm5Yifif8lnjeEmDNFD_2sLWEsdNCzkizHagc=&amp;xsec_source=</x:v>
      </x:c>
      <x:c r="D5" s="4" t="str">
        <x:v>2025-10-19</x:v>
      </x:c>
      <x:c r="E5" s="4" t="str">
        <x:v>风很大的香港🇭🇰Slowood毫无必要</x:v>
      </x:c>
      <x:c r="F5" s="4" t="str">
        <x:v>Product close-up with warning framing likely</x:v>
      </x:c>
      <x:c r="G5" s="4" t="str">
        <x:v>450</x:v>
      </x:c>
      <x:c r="H5" s="4" t="str"/>
      <x:c r="I5" s="4" t="str">
        <x:v>Barrier / negative review</x:v>
      </x:c>
      <x:c r="J5" s="4" t="str">
        <x:v>Overhyped product / scent mismatch</x:v>
      </x:c>
      <x:c r="K5" s="4" t="str">
        <x:v>Anti-hype warning hook</x:v>
      </x:c>
      <x:c r="L5" s="4" t="str">
        <x:v>Captured</x:v>
      </x:c>
      <x:c r="M5" s="4" t="str">
        <x:v>Logged-in Xiaohongshu search result. Author: 真不肉包.</x:v>
      </x:c>
    </x:row>
    <x:row r="6">
      <x:c r="A6" s="4" t="str">
        <x:v>XHS-AUTO-05</x:v>
      </x:c>
      <x:c r="B6" s="4" t="str">
        <x:v>Slowood</x:v>
      </x:c>
      <x:c r="C6" s="4" t="str">
        <x:v>https://www.xiaohongshu.com/search_result/69d49760000000002302628c?xsec_token=ABymC4JITlDwEQPI4lpXFrpQZOcF4q_NQ0wRtEoqnnNKQ=&amp;xsec_source=</x:v>
      </x:c>
      <x:c r="D6" s="4" t="str">
        <x:v>04-07</x:v>
      </x:c>
      <x:c r="E6" s="4" t="str">
        <x:v>听说去香港必买？</x:v>
      </x:c>
      <x:c r="F6" s="4" t="str">
        <x:v>Product haul / must-buy item flat-lay likely</x:v>
      </x:c>
      <x:c r="G6" s="4" t="str">
        <x:v>8</x:v>
      </x:c>
      <x:c r="H6" s="4" t="str"/>
      <x:c r="I6" s="4" t="str">
        <x:v>Product discovery / must-buy list</x:v>
      </x:c>
      <x:c r="J6" s="4" t="str"/>
      <x:c r="K6" s="4" t="str">
        <x:v>Question-style must-buy validation hook</x:v>
      </x:c>
      <x:c r="L6" s="4" t="str">
        <x:v>Captured</x:v>
      </x:c>
      <x:c r="M6" s="4" t="str">
        <x:v>Logged-in Xiaohongshu search result. Author: 普通青年梦想之__.</x:v>
      </x:c>
    </x:row>
    <x:row r="7">
      <x:c r="A7" s="4" t="str">
        <x:v>XHS-AUTO-06</x:v>
      </x:c>
      <x:c r="B7" s="4" t="str">
        <x:v>Slowood</x:v>
      </x:c>
      <x:c r="C7" s="4" t="str">
        <x:v>https://www.xiaohongshu.com/search_result/6916b3a9000000001b023933?xsec_token=ABdwCgykhx7s1OvvnCDxL1jYRMIvJEEv6TzXJn1XMFoiw=&amp;xsec_source=</x:v>
      </x:c>
      <x:c r="D7" s="4" t="str">
        <x:v>2025-11-14</x:v>
      </x:c>
      <x:c r="E7" s="4" t="str">
        <x:v>来香港中环别再买SLOWOOD线香了！</x:v>
      </x:c>
      <x:c r="F7" s="4" t="str">
        <x:v>Product close-up with warning framing likely</x:v>
      </x:c>
      <x:c r="G7" s="4" t="str">
        <x:v>75</x:v>
      </x:c>
      <x:c r="H7" s="4" t="str"/>
      <x:c r="I7" s="4" t="str">
        <x:v>Barrier / negative review</x:v>
      </x:c>
      <x:c r="J7" s="4" t="str">
        <x:v>Product disappointment / avoid list</x:v>
      </x:c>
      <x:c r="K7" s="4" t="str">
        <x:v>Central store anti-purchase warning hook</x:v>
      </x:c>
      <x:c r="L7" s="4" t="str">
        <x:v>Captured</x:v>
      </x:c>
      <x:c r="M7" s="4" t="str">
        <x:v>Logged-in Xiaohongshu search result. Author: Jo的小饭姐姐.</x:v>
      </x:c>
    </x:row>
    <x:row r="8">
      <x:c r="A8" s="4" t="str">
        <x:v>XHS-AUTO-07</x:v>
      </x:c>
      <x:c r="B8" s="4" t="str">
        <x:v>Slowood</x:v>
      </x:c>
      <x:c r="C8" s="4" t="str">
        <x:v>https://www.xiaohongshu.com/search_result/697e289b000000002103d69a?xsec_token=ABAnHb4KUPiYNilVAAoEEkSEmtbr38DHvYucyRM4dhlBQ=&amp;xsec_source=</x:v>
      </x:c>
      <x:c r="D8" s="4" t="str">
        <x:v>02-04</x:v>
      </x:c>
      <x:c r="E8" s="4" t="str">
        <x:v>中环街市📷SLOWOOD一定要试试这款🥹</x:v>
      </x:c>
      <x:c r="F8" s="4" t="str">
        <x:v>Store interior / shelf / route cover likely</x:v>
      </x:c>
      <x:c r="G8" s="4" t="str">
        <x:v>250</x:v>
      </x:c>
      <x:c r="H8" s="4" t="str"/>
      <x:c r="I8" s="4" t="str">
        <x:v>Store visit / route guide</x:v>
      </x:c>
      <x:c r="J8" s="4" t="str"/>
      <x:c r="K8" s="4" t="str">
        <x:v>Central Market route plus product trial hook</x:v>
      </x:c>
      <x:c r="L8" s="4" t="str">
        <x:v>Captured</x:v>
      </x:c>
      <x:c r="M8" s="4" t="str">
        <x:v>Logged-in Xiaohongshu search result. Author: 令二只喝一杯.</x:v>
      </x:c>
    </x:row>
    <x:row r="9">
      <x:c r="A9" s="4" t="str">
        <x:v>XHS-AUTO-08</x:v>
      </x:c>
      <x:c r="B9" s="4" t="str">
        <x:v>Slowood</x:v>
      </x:c>
      <x:c r="C9" s="4" t="str">
        <x:v>https://www.xiaohongshu.com/search_result/697f10a7000000002102bb04?xsec_token=AB3DpXTb-JCJ7wdX87lwYe1dgohLYFU8gyA9_yUwqRt5U=&amp;xsec_source=</x:v>
      </x:c>
      <x:c r="D9" s="4" t="str">
        <x:v>02-01</x:v>
      </x:c>
      <x:c r="E9" s="4" t="str">
        <x:v>🇭🇰香港必买slowood线香推荐🕯️</x:v>
      </x:c>
      <x:c r="F9" s="4" t="str">
        <x:v>Fragrance/incense product cover likely</x:v>
      </x:c>
      <x:c r="G9" s="4" t="str">
        <x:v>30</x:v>
      </x:c>
      <x:c r="H9" s="4" t="str"/>
      <x:c r="I9" s="4" t="str">
        <x:v>Product discovery / must-buy list</x:v>
      </x:c>
      <x:c r="J9" s="4" t="str"/>
      <x:c r="K9" s="4" t="str">
        <x:v>Incense recommendation as Hong Kong must-buy</x:v>
      </x:c>
      <x:c r="L9" s="4" t="str">
        <x:v>Captured</x:v>
      </x:c>
      <x:c r="M9" s="4" t="str">
        <x:v>Logged-in Xiaohongshu search result. Author: hyein.</x:v>
      </x:c>
    </x:row>
    <x:row r="10">
      <x:c r="A10" s="4" t="str">
        <x:v>XHS-AUTO-09</x:v>
      </x:c>
      <x:c r="B10" s="4" t="str">
        <x:v>Slowood</x:v>
      </x:c>
      <x:c r="C10" s="4" t="str">
        <x:v>https://www.xiaohongshu.com/search_result/693e8771000000000d00c130?xsec_token=AB71h3qNL07yS2LgFN-podWgc8KJFSwwpSA-7ALMBTjeQ=&amp;xsec_source=</x:v>
      </x:c>
      <x:c r="D10" s="4" t="str">
        <x:v>2025-12-14</x:v>
      </x:c>
      <x:c r="E10" s="4" t="str">
        <x:v>Slowood中环店丨雷品&amp;必买</x:v>
      </x:c>
      <x:c r="F10" s="4" t="str">
        <x:v>Store interior / shelf / route cover likely</x:v>
      </x:c>
      <x:c r="G10" s="4" t="str">
        <x:v>122</x:v>
      </x:c>
      <x:c r="H10" s="4" t="str"/>
      <x:c r="I10" s="4" t="str">
        <x:v>Barrier / negative review</x:v>
      </x:c>
      <x:c r="J10" s="4" t="str">
        <x:v>Product disappointment / avoid list</x:v>
      </x:c>
      <x:c r="K10" s="4" t="str">
        <x:v>Mixed good/bad buying guide</x:v>
      </x:c>
      <x:c r="L10" s="4" t="str">
        <x:v>Captured</x:v>
      </x:c>
      <x:c r="M10" s="4" t="str">
        <x:v>Logged-in Xiaohongshu search result. Author: sue.</x:v>
      </x:c>
    </x:row>
    <x:row r="11">
      <x:c r="A11" s="4" t="str">
        <x:v>XHS-AUTO-10</x:v>
      </x:c>
      <x:c r="B11" s="4" t="str">
        <x:v>Slowood</x:v>
      </x:c>
      <x:c r="C11" s="4" t="str">
        <x:v>https://www.xiaohongshu.com/search_result/68affe29000000001d026bef?xsec_token=ABNLvjVJ7UzTsGWvOWyQe9jbgRmyYy2hbgM8wQvz1gRi4=&amp;xsec_source=</x:v>
      </x:c>
      <x:c r="D11" s="4" t="str">
        <x:v>2025-08-28</x:v>
      </x:c>
      <x:c r="E11" s="4" t="str">
        <x:v>香港slowood｜可持续发展产品集合店</x:v>
      </x:c>
      <x:c r="F11" s="4" t="str">
        <x:v>Store interior / shelf / route cover likely</x:v>
      </x:c>
      <x:c r="G11" s="4" t="str">
        <x:v>66</x:v>
      </x:c>
      <x:c r="H11" s="4" t="str"/>
      <x:c r="I11" s="4" t="str">
        <x:v>Store visit / route guide</x:v>
      </x:c>
      <x:c r="J11" s="4" t="str"/>
      <x:c r="K11" s="4" t="str">
        <x:v>Sustainable product collection store framing</x:v>
      </x:c>
      <x:c r="L11" s="4" t="str">
        <x:v>Captured</x:v>
      </x:c>
      <x:c r="M11" s="4" t="str">
        <x:v>Logged-in Xiaohongshu search result. Author: 一萬.</x:v>
      </x:c>
    </x:row>
    <x:row r="12">
      <x:c r="A12" s="4" t="str">
        <x:v>XHS-AUTO-11</x:v>
      </x:c>
      <x:c r="B12" s="4" t="str">
        <x:v>Slowood</x:v>
      </x:c>
      <x:c r="C12" s="4" t="str">
        <x:v>https://www.xiaohongshu.com/search_result/69a17e38000000002603c551?xsec_token=ABhcY48ste8csux-3vE5NX1tRnF4xC_dpBMoKdDyK6uQw=&amp;xsec_source=</x:v>
      </x:c>
      <x:c r="D12" s="4" t="str">
        <x:v>02-27</x:v>
      </x:c>
      <x:c r="E12" s="4" t="str">
        <x:v>到底是谁在吹这个香港必买的slowood线香！</x:v>
      </x:c>
      <x:c r="F12" s="4" t="str">
        <x:v>Fragrance/incense product cover likely</x:v>
      </x:c>
      <x:c r="G12" s="4" t="str">
        <x:v>278</x:v>
      </x:c>
      <x:c r="H12" s="4" t="str"/>
      <x:c r="I12" s="4" t="str">
        <x:v>Product discovery / must-buy list</x:v>
      </x:c>
      <x:c r="J12" s="4" t="str">
        <x:v>Possible hype skepticism</x:v>
      </x:c>
      <x:c r="K12" s="4" t="str">
        <x:v>Viral scent discourse hook</x:v>
      </x:c>
      <x:c r="L12" s="4" t="str">
        <x:v>Captured</x:v>
      </x:c>
      <x:c r="M12" s="4" t="str">
        <x:v>Logged-in Xiaohongshu search result. Author: VEOL.Lee.</x:v>
      </x:c>
    </x:row>
    <x:row r="13">
      <x:c r="A13" s="4" t="str">
        <x:v>XHS-AUTO-12</x:v>
      </x:c>
      <x:c r="B13" s="4" t="str">
        <x:v>Slowood</x:v>
      </x:c>
      <x:c r="C13" s="4" t="str">
        <x:v>https://www.xiaohongshu.com/search_result/6891f92400000000040027da?xsec_token=AB1nLlECHlhUTtvL51ABcUHsTuVhU1U1u3nOeS6vAoXpA=&amp;xsec_source=</x:v>
      </x:c>
      <x:c r="D13" s="4" t="str">
        <x:v>2025-08-05</x:v>
      </x:c>
      <x:c r="E13" s="4" t="str">
        <x:v>没有心理准备真的不要买这个香啊！！！</x:v>
      </x:c>
      <x:c r="F13" s="4" t="str">
        <x:v>Product close-up with warning framing likely</x:v>
      </x:c>
      <x:c r="G13" s="4" t="str">
        <x:v>82</x:v>
      </x:c>
      <x:c r="H13" s="4" t="str"/>
      <x:c r="I13" s="4" t="str">
        <x:v>Barrier / negative review</x:v>
      </x:c>
      <x:c r="J13" s="4" t="str">
        <x:v>Overhyped product / scent mismatch</x:v>
      </x:c>
      <x:c r="K13" s="4" t="str">
        <x:v>Strong warning against scent mismatch</x:v>
      </x:c>
      <x:c r="L13" s="4" t="str">
        <x:v>Captured</x:v>
      </x:c>
      <x:c r="M13" s="4" t="str">
        <x:v>Logged-in Xiaohongshu search result. Author: 一颗巧可力🍫.</x:v>
      </x:c>
    </x:row>
    <x:row r="14">
      <x:c r="A14" s="4" t="str">
        <x:v>XHS-AUTO-13</x:v>
      </x:c>
      <x:c r="B14" s="4" t="str">
        <x:v>Slowood</x:v>
      </x:c>
      <x:c r="C14" s="4" t="str">
        <x:v>https://www.xiaohongshu.com/search_result/69fed9f0000000003503b545?xsec_token=ABIJCCtp7S4hxVGQS_X-oJOvHFPpph5CAVXEek7cZQcJ8=&amp;xsec_source=</x:v>
      </x:c>
      <x:c r="D14" s="4" t="str">
        <x:v>05-09</x:v>
      </x:c>
      <x:c r="E14" s="4" t="str">
        <x:v>slowood香港机场店🇭🇰家居人离港前必逛</x:v>
      </x:c>
      <x:c r="F14" s="4" t="str">
        <x:v>Airport store / travel shopping cover likely</x:v>
      </x:c>
      <x:c r="G14" s="4" t="str">
        <x:v>91</x:v>
      </x:c>
      <x:c r="H14" s="4" t="str"/>
      <x:c r="I14" s="4" t="str">
        <x:v>Travel / airport shopping</x:v>
      </x:c>
      <x:c r="J14" s="4" t="str"/>
      <x:c r="K14" s="4" t="str">
        <x:v>Airport-store pre-departure shopping hook</x:v>
      </x:c>
      <x:c r="L14" s="4" t="str">
        <x:v>Captured</x:v>
      </x:c>
      <x:c r="M14" s="4" t="str">
        <x:v>Logged-in Xiaohongshu search result. Author: 丸子生活日記.</x:v>
      </x:c>
    </x:row>
    <x:row r="15">
      <x:c r="A15" s="4" t="str">
        <x:v>XHS-AUTO-14</x:v>
      </x:c>
      <x:c r="B15" s="4" t="str">
        <x:v>Slowood</x:v>
      </x:c>
      <x:c r="C15" s="4" t="str">
        <x:v>https://www.xiaohongshu.com/search_result/6990a728000000000e03e32e?xsec_token=AB3PqSJmZfngd72wdyYoljS62GNY3dVJ1Z1Bd2SKgKSAE=&amp;xsec_source=</x:v>
      </x:c>
      <x:c r="D15" s="4" t="str">
        <x:v>02-15</x:v>
      </x:c>
      <x:c r="E15" s="4" t="str">
        <x:v>香港买到的最满意的伴手礼</x:v>
      </x:c>
      <x:c r="F15" s="4" t="str">
        <x:v>Product haul / must-buy item flat-lay likely</x:v>
      </x:c>
      <x:c r="G15" s="4" t="str">
        <x:v>311</x:v>
      </x:c>
      <x:c r="H15" s="4" t="str"/>
      <x:c r="I15" s="4" t="str">
        <x:v>Product discovery / must-buy list</x:v>
      </x:c>
      <x:c r="J15" s="4" t="str"/>
      <x:c r="K15" s="4" t="str">
        <x:v>Satisfied souvenir/gifting hook</x:v>
      </x:c>
      <x:c r="L15" s="4" t="str">
        <x:v>Captured</x:v>
      </x:c>
      <x:c r="M15" s="4" t="str">
        <x:v>Logged-in Xiaohongshu search result. Author: ywcjqe.</x:v>
      </x:c>
    </x:row>
    <x:row r="16">
      <x:c r="A16" s="4" t="str">
        <x:v>XHS-AUTO-15</x:v>
      </x:c>
      <x:c r="B16" s="4" t="str">
        <x:v>Slowood</x:v>
      </x:c>
      <x:c r="C16" s="4" t="str">
        <x:v>https://www.xiaohongshu.com/search_result/6847913c000000002301ee0b?xsec_token=ABSvj2BNMA0OrtRS38bOohyDoZbpPB3w4hvbzUpOdeLAo=&amp;xsec_source=</x:v>
      </x:c>
      <x:c r="D16" s="4" t="str">
        <x:v>2025-06-24</x:v>
      </x:c>
      <x:c r="E16" s="4" t="str">
        <x:v>香港🇭🇰slowwood必买手信</x:v>
      </x:c>
      <x:c r="F16" s="4" t="str">
        <x:v>Product haul / must-buy item flat-lay likely</x:v>
      </x:c>
      <x:c r="G16" s="4" t="str">
        <x:v>2885</x:v>
      </x:c>
      <x:c r="H16" s="4" t="str"/>
      <x:c r="I16" s="4" t="str">
        <x:v>Product discovery / must-buy list</x:v>
      </x:c>
      <x:c r="J16" s="4" t="str"/>
      <x:c r="K16" s="4" t="str">
        <x:v>High-engagement Hong Kong souvenir hook</x:v>
      </x:c>
      <x:c r="L16" s="4" t="str">
        <x:v>Captured</x:v>
      </x:c>
      <x:c r="M16" s="4" t="str">
        <x:v>Logged-in Xiaohongshu search result. Author: 强酸柠檬. Search result uses slowwood spelling.</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s="3" t="str">
        <x:v>Step</x:v>
      </x:c>
      <x:c r="B1" s="3" t="str">
        <x:v>Action</x:v>
      </x:c>
      <x:c r="C1" s="3" t="str">
        <x:v>Where to record</x:v>
      </x:c>
      <x:c r="D1" s="3" t="str">
        <x:v>Minimum sample</x:v>
      </x:c>
      <x:c r="E1" s="3" t="str">
        <x:v>Coding notes</x:v>
      </x:c>
    </x:row>
    <x:row r="2">
      <x:c r="A2" s="4" t="str">
        <x:v>1</x:v>
      </x:c>
      <x:c r="B2" s="4" t="str">
        <x:v>Open @slowood.hk in logged-in Instagram and capture latest posts in the last 3-6 months.</x:v>
      </x:c>
      <x:c r="C2" s="4" t="str">
        <x:v>Slowood_Content_Audit</x:v>
      </x:c>
      <x:c r="D2" s="4" t="str">
        <x:v>15 posts</x:v>
      </x:c>
      <x:c r="E2" s="4" t="str">
        <x:v>Use Content Type: Product / Education / Event / UGC / Lifestyle / Promo / Store Update.</x:v>
      </x:c>
    </x:row>
    <x:row r="3">
      <x:c r="A3" s="4" t="str">
        <x:v>2</x:v>
      </x:c>
      <x:c r="B3" s="4" t="str">
        <x:v>For each Slowood post, record date, format, likes, comments, caption hook, visual style, hashtags, and comment themes.</x:v>
      </x:c>
      <x:c r="C3" s="4" t="str">
        <x:v>Slowood_Content_Audit</x:v>
      </x:c>
      <x:c r="D3" s="4" t="str">
        <x:v>15 posts</x:v>
      </x:c>
      <x:c r="E3" s="4" t="str">
        <x:v>Comment Themes examples: product question, price, store location, praise, tag friends, giveaway, complaint.</x:v>
      </x:c>
    </x:row>
    <x:row r="4">
      <x:c r="A4" s="4" t="str">
        <x:v>3</x:v>
      </x:c>
      <x:c r="B4" s="4" t="str">
        <x:v>Open competitor accounts and capture comparable recent posts.</x:v>
      </x:c>
      <x:c r="C4" s="4" t="str">
        <x:v>Competitor_Post_Audit</x:v>
      </x:c>
      <x:c r="D4" s="4" t="str">
        <x:v>Live Zero 10; Green Common or The Bulkshoppers 10</x:v>
      </x:c>
      <x:c r="E4" s="4" t="str">
        <x:v>Use same content type and format labels as Slowood for fair comparison.</x:v>
      </x:c>
    </x:row>
    <x:row r="5">
      <x:c r="A5" s="4" t="str">
        <x:v>4</x:v>
      </x:c>
      <x:c r="B5" s="4" t="str">
        <x:v>Search Xiaohongshu keywords and collect user notes.</x:v>
      </x:c>
      <x:c r="C5" s="4" t="str">
        <x:v>XHS_Note_Audit</x:v>
      </x:c>
      <x:c r="D5" s="4" t="str">
        <x:v>10 notes</x:v>
      </x:c>
      <x:c r="E5" s="4" t="str">
        <x:v>Code Title Hook, Cover Visual, User Motivation, Mentioned Barrier, and Shareable Hook.</x:v>
      </x:c>
    </x:row>
    <x:row r="6">
      <x:c r="A6" s="4" t="str">
        <x:v>5</x:v>
      </x:c>
      <x:c r="B6" s="4" t="str">
        <x:v>Check Slowood Instagram Stories Highlights.</x:v>
      </x:c>
      <x:c r="C6" s="4" t="str">
        <x:v>Account_Audit or memo</x:v>
      </x:c>
      <x:c r="D6" s="4" t="str">
        <x:v>All visible highlights</x:v>
      </x:c>
      <x:c r="E6" s="4" t="str">
        <x:v>Code whether highlights are catalog, store info, refill, UGC, press, event, or promotion-led.</x:v>
      </x:c>
    </x:row>
    <x:row r="7">
      <x:c r="A7" s="4" t="str">
        <x:v>6</x:v>
      </x:c>
      <x:c r="B7" s="4" t="str">
        <x:v>Refresh Sample_Analysis after entering values.</x:v>
      </x:c>
      <x:c r="C7" s="4" t="str">
        <x:v>Sample_Analysis</x:v>
      </x:c>
      <x:c r="D7" s="4" t="str">
        <x:v>Automatic</x:v>
      </x:c>
      <x:c r="E7" s="4" t="str">
        <x:v>Average likes/comments and content mix formulas update when cells are filled.</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s="3" t="str">
        <x:v>Item</x:v>
      </x:c>
      <x:c r="B1" s="3" t="str">
        <x:v>Where</x:v>
      </x:c>
      <x:c r="C1" s="3" t="str">
        <x:v>How To Use</x:v>
      </x:c>
    </x:row>
    <x:row r="2">
      <x:c r="A2" s="4" t="str">
        <x:v>Primary file</x:v>
      </x:c>
      <x:c r="B2" s="4" t="str">
        <x:v>Slowood_manual_capture_execution_pack.md</x:v>
      </x:c>
      <x:c r="C2" s="4" t="str">
        <x:v>Step-by-step manual capture workflow for logged-in Instagram, Xiaohongshu and review platforms.</x:v>
      </x:c>
    </x:row>
    <x:row r="3">
      <x:c r="A3" s="4" t="str">
        <x:v>Start here</x:v>
      </x:c>
      <x:c r="B3" s="4" t="str">
        <x:v>Capture_Queue</x:v>
      </x:c>
      <x:c r="C3" s="4" t="str">
        <x:v>Use this sheet to execute the remaining data collection tasks by priority.</x:v>
      </x:c>
    </x:row>
    <x:row r="4">
      <x:c r="A4" s="4" t="str">
        <x:v>Label control</x:v>
      </x:c>
      <x:c r="B4" s="4" t="str">
        <x:v>Coding_Dictionary</x:v>
      </x:c>
      <x:c r="C4" s="4" t="str">
        <x:v>Use this sheet to keep content type, format, visual style and comment-theme coding consistent.</x:v>
      </x:c>
    </x:row>
    <x:row r="5">
      <x:c r="A5" s="4" t="str">
        <x:v>Slowood posts</x:v>
      </x:c>
      <x:c r="B5" s="4" t="str">
        <x:v>Slowood_Content_Audit</x:v>
      </x:c>
      <x:c r="C5" s="4" t="str">
        <x:v>Fill official Slowood IG post rows here; Data Status must be Captured to count.</x:v>
      </x:c>
    </x:row>
    <x:row r="6">
      <x:c r="A6" s="4" t="str">
        <x:v>Competitor posts</x:v>
      </x:c>
      <x:c r="B6" s="4" t="str">
        <x:v>Competitor_Post_Audit</x:v>
      </x:c>
      <x:c r="C6" s="4" t="str">
        <x:v>Fill Live Zero, The Bulkshoppers and Green Common / OmniFoods rows here.</x:v>
      </x:c>
    </x:row>
    <x:row r="7">
      <x:c r="A7" s="4" t="str">
        <x:v>Xiaohongshu notes</x:v>
      </x:c>
      <x:c r="B7" s="4" t="str">
        <x:v>XHS_Note_Audit</x:v>
      </x:c>
      <x:c r="C7" s="4" t="str">
        <x:v>Fill raw Xiaohongshu note-level samples here.</x:v>
      </x:c>
    </x:row>
    <x:row r="8">
      <x:c r="A8" s="4" t="str">
        <x:v>UGC / tagged posts</x:v>
      </x:c>
      <x:c r="B8" s="4" t="str">
        <x:v>IG_Tagged_Samples</x:v>
      </x:c>
      <x:c r="C8" s="4" t="str">
        <x:v>Fill user-generated, partner or location-tagged Instagram samples here.</x:v>
      </x:c>
    </x:row>
    <x:row r="9">
      <x:c r="A9" s="4" t="str">
        <x:v>Progress check</x:v>
      </x:c>
      <x:c r="B9" s="4" t="str">
        <x:v>Capture_Dashboard</x:v>
      </x:c>
      <x:c r="C9" s="4" t="str">
        <x:v>Check whether minimum samples have been reached.</x:v>
      </x:c>
    </x:row>
    <x:row r="10">
      <x:c r="A10" s="4" t="str">
        <x:v>Metrics check</x:v>
      </x:c>
      <x:c r="B10" s="4" t="str">
        <x:v>Sample_Analysis</x:v>
      </x:c>
      <x:c r="C10" s="4" t="str">
        <x:v>Review averages, content mix and top posts after captured rows are added.</x:v>
      </x:c>
    </x:row>
    <x:row r="11">
      <x:c r="A11" s="4" t="str">
        <x:v>Frequency check</x:v>
      </x:c>
      <x:c r="B11" s="4" t="str">
        <x:v>Posting_Frequency</x:v>
      </x:c>
      <x:c r="C11" s="4" t="str">
        <x:v>Review sample date span and average posts per week.</x:v>
      </x:c>
    </x:row>
    <x:row r="12">
      <x:c r="A12" s="4" t="str">
        <x:v>Quality rule</x:v>
      </x:c>
      <x:c r="B12" s="4" t="str">
        <x:v>Do not fabricate metrics</x:v>
      </x:c>
      <x:c r="C12" s="4" t="str">
        <x:v>If a post, comment or story cannot be opened, leave it as a gap and record the blocker.</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s="3" t="str">
        <x:v>Priority</x:v>
      </x:c>
      <x:c r="B1" s="3" t="str">
        <x:v>Platform</x:v>
      </x:c>
      <x:c r="C1" s="3" t="str">
        <x:v>Account / Keyword</x:v>
      </x:c>
      <x:c r="D1" s="3" t="str">
        <x:v>Research Target</x:v>
      </x:c>
      <x:c r="E1" s="3" t="str">
        <x:v>Where To Record</x:v>
      </x:c>
      <x:c r="F1" s="3" t="str">
        <x:v>Minimum Sample</x:v>
      </x:c>
      <x:c r="G1" s="3" t="str">
        <x:v>Fields To Capture</x:v>
      </x:c>
      <x:c r="H1" s="3" t="str">
        <x:v>Importance</x:v>
      </x:c>
      <x:c r="I1" s="3" t="str">
        <x:v>Capture Notes</x:v>
      </x:c>
    </x:row>
    <x:row r="2">
      <x:c r="A2" s="4" t="str">
        <x:v>1</x:v>
      </x:c>
      <x:c r="B2" s="4" t="str">
        <x:v>Instagram</x:v>
      </x:c>
      <x:c r="C2" s="4" t="str">
        <x:v>@slowood.hk</x:v>
      </x:c>
      <x:c r="D2" s="4" t="str">
        <x:v>Official recent posts</x:v>
      </x:c>
      <x:c r="E2" s="4" t="str">
        <x:v>Slowood_Content_Audit</x:v>
      </x:c>
      <x:c r="F2" s="4" t="str">
        <x:v>15-20 posts</x:v>
      </x:c>
      <x:c r="G2" s="4" t="str">
        <x:v>Post URL, date, content type, format, likes, comments, caption hook, visual style, hashtags, comment themes</x:v>
      </x:c>
      <x:c r="H2" s="4" t="str">
        <x:v>High</x:v>
      </x:c>
      <x:c r="I2" s="4" t="str">
        <x:v>Start from latest post and work backwards until at least 3 months or 15 posts.</x:v>
      </x:c>
    </x:row>
    <x:row r="3">
      <x:c r="A3" s="4" t="str">
        <x:v>2</x:v>
      </x:c>
      <x:c r="B3" s="4" t="str">
        <x:v>Instagram</x:v>
      </x:c>
      <x:c r="C3" s="4" t="str">
        <x:v>@slowood.hk</x:v>
      </x:c>
      <x:c r="D3" s="4" t="str">
        <x:v>Stories Highlights</x:v>
      </x:c>
      <x:c r="E3" s="4" t="str">
        <x:v>Account_Audit / notes</x:v>
      </x:c>
      <x:c r="F3" s="4" t="str">
        <x:v>All visible highlights</x:v>
      </x:c>
      <x:c r="G3" s="4" t="str">
        <x:v>Highlight name, order, content focus, whether UGC/user proof appears</x:v>
      </x:c>
      <x:c r="H3" s="4" t="str">
        <x:v>High</x:v>
      </x:c>
      <x:c r="I3" s="4" t="str">
        <x:v>Classify as catalog / store info / refill / UGC / press / event / promo.</x:v>
      </x:c>
    </x:row>
    <x:row r="4">
      <x:c r="A4" s="4" t="str">
        <x:v>3</x:v>
      </x:c>
      <x:c r="B4" s="4" t="str">
        <x:v>Instagram</x:v>
      </x:c>
      <x:c r="C4" s="4" t="str">
        <x:v>@slowood.hk comments</x:v>
      </x:c>
      <x:c r="D4" s="4" t="str">
        <x:v>Recent post comments</x:v>
      </x:c>
      <x:c r="E4" s="4" t="str">
        <x:v>Slowood_Content_Audit</x:v>
      </x:c>
      <x:c r="F4" s="4" t="str">
        <x:v>Same posts as queue item 1</x:v>
      </x:c>
      <x:c r="G4" s="4" t="str">
        <x:v>Comment themes: product question, price, location, praise, tag friends, complaint, other</x:v>
      </x:c>
      <x:c r="H4" s="4" t="str">
        <x:v>High</x:v>
      </x:c>
      <x:c r="I4" s="4" t="str">
        <x:v>Do not copy long comments; summarize the theme.</x:v>
      </x:c>
    </x:row>
    <x:row r="5">
      <x:c r="A5" s="4" t="str">
        <x:v>4</x:v>
      </x:c>
      <x:c r="B5" s="4" t="str">
        <x:v>Instagram</x:v>
      </x:c>
      <x:c r="C5" s="4" t="str">
        <x:v>Slowood locations / @slowood.hk mentions</x:v>
      </x:c>
      <x:c r="D5" s="4" t="str">
        <x:v>User-generated tagged posts</x:v>
      </x:c>
      <x:c r="E5" s="4" t="str">
        <x:v>IG_Tagged_Samples</x:v>
      </x:c>
      <x:c r="F5" s="4" t="str">
        <x:v>5-10 samples</x:v>
      </x:c>
      <x:c r="G5" s="4" t="str">
        <x:v>Account, date, location/mention, observed signal, post type, likes, comments, user motivation, content hook</x:v>
      </x:c>
      <x:c r="H5" s="4" t="str">
        <x:v>Medium</x:v>
      </x:c>
      <x:c r="I5" s="4" t="str">
        <x:v>Prioritize posts by non-brand accounts and venue/location tags.</x:v>
      </x:c>
    </x:row>
    <x:row r="6">
      <x:c r="A6" s="4" t="str">
        <x:v>5</x:v>
      </x:c>
      <x:c r="B6" s="4" t="str">
        <x:v>Xiaohongshu</x:v>
      </x:c>
      <x:c r="C6" s="4" t="str">
        <x:v>Slowood</x:v>
      </x:c>
      <x:c r="D6" s="4" t="str">
        <x:v>Search notes</x:v>
      </x:c>
      <x:c r="E6" s="4" t="str">
        <x:v>XHS_Note_Audit</x:v>
      </x:c>
      <x:c r="F6" s="4" t="str">
        <x:v>3 notes</x:v>
      </x:c>
      <x:c r="G6" s="4" t="str">
        <x:v>Title hook, cover visual, likes/saves, comments, user motivation, barrier, shareable hook</x:v>
      </x:c>
      <x:c r="H6" s="4" t="str">
        <x:v>High</x:v>
      </x:c>
      <x:c r="I6" s="4" t="str">
        <x:v>Capture both positive and mixed/critical notes.</x:v>
      </x:c>
    </x:row>
    <x:row r="7">
      <x:c r="A7" s="4" t="str">
        <x:v>6</x:v>
      </x:c>
      <x:c r="B7" s="4" t="str">
        <x:v>Xiaohongshu</x:v>
      </x:c>
      <x:c r="C7" s="4" t="str">
        <x:v>Slowood香港</x:v>
      </x:c>
      <x:c r="D7" s="4" t="str">
        <x:v>Search notes</x:v>
      </x:c>
      <x:c r="E7" s="4" t="str">
        <x:v>XHS_Note_Audit</x:v>
      </x:c>
      <x:c r="F7" s="4" t="str">
        <x:v>3 notes</x:v>
      </x:c>
      <x:c r="G7" s="4" t="str">
        <x:v>Title hook, cover visual, likes/saves, comments, user motivation, barrier, shareable hook</x:v>
      </x:c>
      <x:c r="H7" s="4" t="str">
        <x:v>High</x:v>
      </x:c>
      <x:c r="I7" s="4" t="str">
        <x:v>Look for tourist/shopper language and what-to-buy framing.</x:v>
      </x:c>
    </x:row>
    <x:row r="8">
      <x:c r="A8" s="4" t="str">
        <x:v>7</x:v>
      </x:c>
      <x:c r="B8" s="4" t="str">
        <x:v>Xiaohongshu</x:v>
      </x:c>
      <x:c r="C8" s="4" t="str">
        <x:v>香港环保购物 / 香港裸买 / 香港慢生活</x:v>
      </x:c>
      <x:c r="D8" s="4" t="str">
        <x:v>Category search notes</x:v>
      </x:c>
      <x:c r="E8" s="4" t="str">
        <x:v>XHS_Note_Audit</x:v>
      </x:c>
      <x:c r="F8" s="4" t="str">
        <x:v>4 notes</x:v>
      </x:c>
      <x:c r="G8" s="4" t="str">
        <x:v>Title hook, cover visual, likes/saves, comments, user motivation, barrier, shareable hook</x:v>
      </x:c>
      <x:c r="H8" s="4" t="str">
        <x:v>High</x:v>
      </x:c>
      <x:c r="I8" s="4" t="str">
        <x:v>Use this to compare Slowood against category expectations.</x:v>
      </x:c>
    </x:row>
    <x:row r="9">
      <x:c r="A9" s="4" t="str">
        <x:v>8</x:v>
      </x:c>
      <x:c r="B9" s="4" t="str">
        <x:v>Instagram</x:v>
      </x:c>
      <x:c r="C9" s="4" t="str">
        <x:v>@livezero.hk</x:v>
      </x:c>
      <x:c r="D9" s="4" t="str">
        <x:v>Direct competitor recent posts</x:v>
      </x:c>
      <x:c r="E9" s="4" t="str">
        <x:v>Competitor_Post_Audit</x:v>
      </x:c>
      <x:c r="F9" s="4" t="str">
        <x:v>10-15 posts</x:v>
      </x:c>
      <x:c r="G9" s="4" t="str">
        <x:v>Post URL, date, content type, format, likes, comments, caption hook, visual style, hashtags, comment themes</x:v>
      </x:c>
      <x:c r="H9" s="4" t="str">
        <x:v>High</x:v>
      </x:c>
      <x:c r="I9" s="4" t="str">
        <x:v>Use same coding labels as Slowood.</x:v>
      </x:c>
    </x:row>
    <x:row r="10">
      <x:c r="A10" s="4" t="str">
        <x:v>9</x:v>
      </x:c>
      <x:c r="B10" s="4" t="str">
        <x:v>Instagram</x:v>
      </x:c>
      <x:c r="C10" s="4" t="str">
        <x:v>@thebulkshoppers</x:v>
      </x:c>
      <x:c r="D10" s="4" t="str">
        <x:v>Direct/local competitor recent posts</x:v>
      </x:c>
      <x:c r="E10" s="4" t="str">
        <x:v>Competitor_Post_Audit</x:v>
      </x:c>
      <x:c r="F10" s="4" t="str">
        <x:v>10 posts</x:v>
      </x:c>
      <x:c r="G10" s="4" t="str">
        <x:v>Post URL, date, content type, format, likes, comments, caption hook, visual style, hashtags, comment themes</x:v>
      </x:c>
      <x:c r="H10" s="4" t="str">
        <x:v>Medium</x:v>
      </x:c>
      <x:c r="I10" s="4" t="str">
        <x:v>If account access is limited, capture Green Common current posts instead.</x:v>
      </x:c>
    </x:row>
    <x:row r="11">
      <x:c r="A11" s="4" t="str">
        <x:v>10</x:v>
      </x:c>
      <x:c r="B11" s="4" t="str">
        <x:v>Instagram</x:v>
      </x:c>
      <x:c r="C11" s="4" t="str">
        <x:v>@green_common or @omnifoods.hk</x:v>
      </x:c>
      <x:c r="D11" s="4" t="str">
        <x:v>Indirect benchmark current posts</x:v>
      </x:c>
      <x:c r="E11" s="4" t="str">
        <x:v>Competitor_Post_Audit</x:v>
      </x:c>
      <x:c r="F11" s="4" t="str">
        <x:v>10 posts</x:v>
      </x:c>
      <x:c r="G11" s="4" t="str">
        <x:v>Post URL, date, content type, format, likes, comments, caption hook, visual style, hashtags, comment themes</x:v>
      </x:c>
      <x:c r="H11" s="4" t="str">
        <x:v>Medium</x:v>
      </x:c>
      <x:c r="I11" s="4" t="str">
        <x:v>Use if final case needs a current use-case benchmark, not only historical examples.</x:v>
      </x:c>
    </x:row>
    <x:row r="12">
      <x:c r="A12" s="4" t="str">
        <x:v>11</x:v>
      </x:c>
      <x:c r="B12" s="4" t="str">
        <x:v>Google Maps</x:v>
      </x:c>
      <x:c r="C12" s="4" t="str">
        <x:v>Slowood Kennedy Town / Central / Causeway Bay / HKIA</x:v>
      </x:c>
      <x:c r="D12" s="4" t="str">
        <x:v>Store reviews</x:v>
      </x:c>
      <x:c r="E12" s="4" t="str">
        <x:v>Qualitative_Samples or notes</x:v>
      </x:c>
      <x:c r="F12" s="4" t="str">
        <x:v>15-30 reviews if available</x:v>
      </x:c>
      <x:c r="G12" s="4" t="str">
        <x:v>Environment, product, price, service, concept, location, refill, photo-worthiness</x:v>
      </x:c>
      <x:c r="H12" s="4" t="str">
        <x:v>Medium</x:v>
      </x:c>
      <x:c r="I12" s="4" t="str">
        <x:v>Use keyword counts rather than long quotes.</x:v>
      </x:c>
    </x:row>
    <x:row r="13">
      <x:c r="A13" s="4" t="str">
        <x:v>12</x:v>
      </x:c>
      <x:c r="B13" s="4" t="str">
        <x:v>OpenRice</x:v>
      </x:c>
      <x:c r="C13" s="4" t="str">
        <x:v>Slowood</x:v>
      </x:c>
      <x:c r="D13" s="4" t="str">
        <x:v>Retail/restaurant listing check</x:v>
      </x:c>
      <x:c r="E13" s="4" t="str">
        <x:v>Post_Level_Access_Audit</x:v>
      </x:c>
      <x:c r="F13" s="4" t="str">
        <x:v>Optional</x:v>
      </x:c>
      <x:c r="G13" s="4" t="str">
        <x:v>Whether useful review volume exists</x:v>
      </x:c>
      <x:c r="H13" s="4" t="str">
        <x:v>Low</x:v>
      </x:c>
      <x:c r="I13" s="4" t="str">
        <x:v>Use only if relevant listing/reviews are available; Google Maps is stronger.</x:v>
      </x:c>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s="3" t="str">
        <x:v>Field Group</x:v>
      </x:c>
      <x:c r="B1" s="3" t="str">
        <x:v>Allowed Label</x:v>
      </x:c>
      <x:c r="C1" s="3" t="str">
        <x:v>Definition</x:v>
      </x:c>
      <x:c r="D1" s="3" t="str">
        <x:v>Use Note</x:v>
      </x:c>
    </x:row>
    <x:row r="2">
      <x:c r="A2" s="4" t="str">
        <x:v>Content Type</x:v>
      </x:c>
      <x:c r="B2" s="4" t="str">
        <x:v>Product</x:v>
      </x:c>
      <x:c r="C2" s="4" t="str">
        <x:v>Single product, product category, product launch, or shopping recommendation.</x:v>
      </x:c>
      <x:c r="D2" s="4" t="str">
        <x:v>Use when the primary message is what to buy.</x:v>
      </x:c>
    </x:row>
    <x:row r="3">
      <x:c r="A3" s="4" t="str">
        <x:v>Content Type</x:v>
      </x:c>
      <x:c r="B3" s="4" t="str">
        <x:v>Education</x:v>
      </x:c>
      <x:c r="C3" s="4" t="str">
        <x:v>Explains sustainability, refill, zero-waste, ingredient, recipe, how-to, or why-it-matters.</x:v>
      </x:c>
      <x:c r="D3" s="4" t="str">
        <x:v>Use when the post teaches or explains.</x:v>
      </x:c>
    </x:row>
    <x:row r="4">
      <x:c r="A4" s="4" t="str">
        <x:v>Content Type</x:v>
      </x:c>
      <x:c r="B4" s="4" t="str">
        <x:v>Event</x:v>
      </x:c>
      <x:c r="C4" s="4" t="str">
        <x:v>Workshop, market, pop-up, live, in-store event, community activity.</x:v>
      </x:c>
      <x:c r="D4" s="4" t="str">
        <x:v>Use when there is a time-bound participation action.</x:v>
      </x:c>
    </x:row>
    <x:row r="5">
      <x:c r="A5" s="4" t="str">
        <x:v>Content Type</x:v>
      </x:c>
      <x:c r="B5" s="4" t="str">
        <x:v>UGC</x:v>
      </x:c>
      <x:c r="C5" s="4" t="str">
        <x:v>User repost, customer story, creator/influencer content, tagged customer content.</x:v>
      </x:c>
      <x:c r="D5" s="4" t="str">
        <x:v>Use only when user/creator proof is central.</x:v>
      </x:c>
    </x:row>
    <x:row r="6">
      <x:c r="A6" s="4" t="str">
        <x:v>Content Type</x:v>
      </x:c>
      <x:c r="B6" s="4" t="str">
        <x:v>Lifestyle</x:v>
      </x:c>
      <x:c r="C6" s="4" t="str">
        <x:v>Store experience, aesthetic, routine, route, identity, slow living, scenario content.</x:v>
      </x:c>
      <x:c r="D6" s="4" t="str">
        <x:v>Use when the post sells a way of living rather than one item.</x:v>
      </x:c>
    </x:row>
    <x:row r="7">
      <x:c r="A7" s="4" t="str">
        <x:v>Content Type</x:v>
      </x:c>
      <x:c r="B7" s="4" t="str">
        <x:v>Promo</x:v>
      </x:c>
      <x:c r="C7" s="4" t="str">
        <x:v>Discount, voucher, bundle, member offer, giveaway, coupon, sale.</x:v>
      </x:c>
      <x:c r="D7" s="4" t="str">
        <x:v>Use when incentive is the main hook.</x:v>
      </x:c>
    </x:row>
    <x:row r="8">
      <x:c r="A8" s="4" t="str">
        <x:v>Content Type</x:v>
      </x:c>
      <x:c r="B8" s="4" t="str">
        <x:v>Store Update</x:v>
      </x:c>
      <x:c r="C8" s="4" t="str">
        <x:v>Opening hours, branch news, stock update, logistics, operational notice.</x:v>
      </x:c>
      <x:c r="D8" s="4" t="str">
        <x:v>Use when the post is mainly informational.</x:v>
      </x:c>
    </x:row>
    <x:row r="9">
      <x:c r="A9" s="4" t="str">
        <x:v>Format</x:v>
      </x:c>
      <x:c r="B9" s="4" t="str">
        <x:v>Reel</x:v>
      </x:c>
      <x:c r="C9" s="4" t="str">
        <x:v>Short vertical video on Instagram Reels.</x:v>
      </x:c>
      <x:c r="D9" s="4" t="str">
        <x:v>If uncertain, mark Video and note uncertainty.</x:v>
      </x:c>
    </x:row>
    <x:row r="10">
      <x:c r="A10" s="4" t="str">
        <x:v>Format</x:v>
      </x:c>
      <x:c r="B10" s="4" t="str">
        <x:v>Video</x:v>
      </x:c>
      <x:c r="C10" s="4" t="str">
        <x:v>Video post that is not clearly Reel or when platform does not expose type.</x:v>
      </x:c>
      <x:c r="D10" s="4" t="str">
        <x:v>Use for XHS video notes too.</x:v>
      </x:c>
    </x:row>
    <x:row r="11">
      <x:c r="A11" s="4" t="str">
        <x:v>Format</x:v>
      </x:c>
      <x:c r="B11" s="4" t="str">
        <x:v>Static Image</x:v>
      </x:c>
      <x:c r="C11" s="4" t="str">
        <x:v>Single image post or single cover note.</x:v>
      </x:c>
      <x:c r="D11" s="4" t="str">
        <x:v>Use only when there is one main image.</x:v>
      </x:c>
    </x:row>
    <x:row r="12">
      <x:c r="A12" s="4" t="str">
        <x:v>Format</x:v>
      </x:c>
      <x:c r="B12" s="4" t="str">
        <x:v>Carousel</x:v>
      </x:c>
      <x:c r="C12" s="4" t="str">
        <x:v>Multiple images/slides.</x:v>
      </x:c>
      <x:c r="D12" s="4" t="str">
        <x:v>Use for IG carousel or XHS multi-image note.</x:v>
      </x:c>
    </x:row>
    <x:row r="13">
      <x:c r="A13" s="4" t="str">
        <x:v>Visual Style</x:v>
      </x:c>
      <x:c r="B13" s="4" t="str">
        <x:v>Product Close-up</x:v>
      </x:c>
      <x:c r="C13" s="4" t="str">
        <x:v>Product pack, shelf product, hand-held item, flat-lay.</x:v>
      </x:c>
      <x:c r="D13" s="4" t="str">
        <x:v>Useful to check catalog-heavy content.</x:v>
      </x:c>
    </x:row>
    <x:row r="14">
      <x:c r="A14" s="4" t="str">
        <x:v>Visual Style</x:v>
      </x:c>
      <x:c r="B14" s="4" t="str">
        <x:v>Store / Shelf</x:v>
      </x:c>
      <x:c r="C14" s="4" t="str">
        <x:v>Interior, refill wall, bulk bins, branch facade, store corner.</x:v>
      </x:c>
      <x:c r="D14" s="4" t="str">
        <x:v>Signals location/visit shareability.</x:v>
      </x:c>
    </x:row>
    <x:row r="15">
      <x:c r="A15" s="4" t="str">
        <x:v>Visual Style</x:v>
      </x:c>
      <x:c r="B15" s="4" t="str">
        <x:v>People / Hands</x:v>
      </x:c>
      <x:c r="C15" s="4" t="str">
        <x:v>People using, refilling, shopping, holding or demonstrating.</x:v>
      </x:c>
      <x:c r="D15" s="4" t="str">
        <x:v>Signals action and participation.</x:v>
      </x:c>
    </x:row>
    <x:row r="16">
      <x:c r="A16" s="4" t="str">
        <x:v>Visual Style</x:v>
      </x:c>
      <x:c r="B16" s="4" t="str">
        <x:v>Text Card</x:v>
      </x:c>
      <x:c r="C16" s="4" t="str">
        <x:v>Graphic, quote, announcement card, infographic.</x:v>
      </x:c>
      <x:c r="D16" s="4" t="str">
        <x:v>Track if abstract/announcement-heavy.</x:v>
      </x:c>
    </x:row>
    <x:row r="17">
      <x:c r="A17" s="4" t="str">
        <x:v>Visual Style</x:v>
      </x:c>
      <x:c r="B17" s="4" t="str">
        <x:v>Scenario / Routine</x:v>
      </x:c>
      <x:c r="C17" s="4" t="str">
        <x:v>Home use, pantry, bathroom, office, travel, hiking, concert, airport.</x:v>
      </x:c>
      <x:c r="D17" s="4" t="str">
        <x:v>Core for content activation strategy.</x:v>
      </x:c>
    </x:row>
    <x:row r="18">
      <x:c r="A18" s="4" t="str">
        <x:v>Comment Theme</x:v>
      </x:c>
      <x:c r="B18" s="4" t="str">
        <x:v>Product Question</x:v>
      </x:c>
      <x:c r="C18" s="4" t="str">
        <x:v>Asks availability, product details, how to use, ingredient, size, scent, flavor.</x:v>
      </x:c>
      <x:c r="D18" s="4" t="str">
        <x:v>Indicates purchase intent.</x:v>
      </x:c>
    </x:row>
    <x:row r="19">
      <x:c r="A19" s="4" t="str">
        <x:v>Comment Theme</x:v>
      </x:c>
      <x:c r="B19" s="4" t="str">
        <x:v>Price / Value</x:v>
      </x:c>
      <x:c r="C19" s="4" t="str">
        <x:v>Mentions expensive, discount, CP value, budget, under-HKD amount.</x:v>
      </x:c>
      <x:c r="D19" s="4" t="str">
        <x:v>Important barrier signal.</x:v>
      </x:c>
    </x:row>
    <x:row r="20">
      <x:c r="A20" s="4" t="str">
        <x:v>Comment Theme</x:v>
      </x:c>
      <x:c r="B20" s="4" t="str">
        <x:v>Store Location</x:v>
      </x:c>
      <x:c r="C20" s="4" t="str">
        <x:v>Asks branch, opening hours, route, where to buy, airport availability.</x:v>
      </x:c>
      <x:c r="D20" s="4" t="str">
        <x:v>Indicates traffic and store-visit intent.</x:v>
      </x:c>
    </x:row>
    <x:row r="21">
      <x:c r="A21" s="4" t="str">
        <x:v>Comment Theme</x:v>
      </x:c>
      <x:c r="B21" s="4" t="str">
        <x:v>Praise / Identity</x:v>
      </x:c>
      <x:c r="C21" s="4" t="str">
        <x:v>Compliments store, brand, aesthetic, values, lifestyle.</x:v>
      </x:c>
      <x:c r="D21" s="4" t="str">
        <x:v>Signals brand affinity but may not be action-oriented.</x:v>
      </x:c>
    </x:row>
    <x:row r="22">
      <x:c r="A22" s="4" t="str">
        <x:v>Comment Theme</x:v>
      </x:c>
      <x:c r="B22" s="4" t="str">
        <x:v>Tag Friends</x:v>
      </x:c>
      <x:c r="C22" s="4" t="str">
        <x:v>Tags another user or suggests going together.</x:v>
      </x:c>
      <x:c r="D22" s="4" t="str">
        <x:v>Signals shareability.</x:v>
      </x:c>
    </x:row>
    <x:row r="23">
      <x:c r="A23" s="4" t="str">
        <x:v>Comment Theme</x:v>
      </x:c>
      <x:c r="B23" s="4" t="str">
        <x:v>Complaint</x:v>
      </x:c>
      <x:c r="C23" s="4" t="str">
        <x:v>Negative service, price, stock, product, or experience comment.</x:v>
      </x:c>
      <x:c r="D23" s="4" t="str">
        <x:v>Track but summarize neutrally.</x:v>
      </x:c>
    </x:row>
    <x:row r="24">
      <x:c r="A24" s="4" t="str">
        <x:v>XHS Hook</x:v>
      </x:c>
      <x:c r="B24" s="4" t="str">
        <x:v>打卡 / 必去</x:v>
      </x:c>
      <x:c r="C24" s="4" t="str">
        <x:v>Travel/place-discovery title such as 香港必打卡, 小众店, 慢逛路线.</x:v>
      </x:c>
      <x:c r="D24" s="4" t="str">
        <x:v>Code as visit motivation.</x:v>
      </x:c>
    </x:row>
    <x:row r="25">
      <x:c r="A25" s="4" t="str">
        <x:v>XHS Hook</x:v>
      </x:c>
      <x:c r="B25" s="4" t="str">
        <x:v>买什么 / 好物</x:v>
      </x:c>
      <x:c r="C25" s="4" t="str">
        <x:v>What-to-buy list, hidden find, souvenir, haul.</x:v>
      </x:c>
      <x:c r="D25" s="4" t="str">
        <x:v>Code as product discovery.</x:v>
      </x:c>
    </x:row>
    <x:row r="26">
      <x:c r="A26" s="4" t="str">
        <x:v>XHS Hook</x:v>
      </x:c>
      <x:c r="B26" s="4" t="str">
        <x:v>教程 / 初体验</x:v>
      </x:c>
      <x:c r="C26" s="4" t="str">
        <x:v>First refill, how to buy bulk, how to bring bottles.</x:v>
      </x:c>
      <x:c r="D26" s="4" t="str">
        <x:v>Code as beginner education.</x:v>
      </x:c>
    </x:row>
    <x:row r="27">
      <x:c r="A27" s="4" t="str">
        <x:v>XHS Hook</x:v>
      </x:c>
      <x:c r="B27" s="4" t="str">
        <x:v>价格 / CP</x:v>
      </x:c>
      <x:c r="C27" s="4" t="str">
        <x:v>Under-HKD amount, expensive, worth it, high CP.</x:v>
      </x:c>
      <x:c r="D27" s="4" t="str">
        <x:v>Code as value barrier or value proof.</x:v>
      </x:c>
    </x:row>
    <x:row r="28">
      <x:c r="A28" s="4" t="str">
        <x:v>Data Status</x:v>
      </x:c>
      <x:c r="B28" s="4" t="str">
        <x:v>Captured</x:v>
      </x:c>
      <x:c r="C28" s="4" t="str">
        <x:v>Row has enough current/manual data to count in formulas.</x:v>
      </x:c>
      <x:c r="D28" s="4" t="str">
        <x:v>Only use when date and key fields are filled.</x:v>
      </x:c>
    </x:row>
    <x:row r="29">
      <x:c r="A29" s="4" t="str">
        <x:v>Data Status</x:v>
      </x:c>
      <x:c r="B29" s="4" t="str">
        <x:v>Need login/manual capture</x:v>
      </x:c>
      <x:c r="C29" s="4" t="str">
        <x:v>Placeholder row or task not yet captured.</x:v>
      </x:c>
      <x:c r="D29" s="4" t="str">
        <x:v>Does not count in formulas.</x:v>
      </x:c>
    </x:row>
    <x:row r="30">
      <x:c r="A30" s="4" t="str">
        <x:v>Data Status</x:v>
      </x:c>
      <x:c r="B30" s="4" t="str">
        <x:v>Secondary source</x:v>
      </x:c>
      <x:c r="C30" s="4" t="str">
        <x:v>Evidence from media/search summary, not raw platform post.</x:v>
      </x:c>
      <x:c r="D30" s="4" t="str">
        <x:v>Use for qualitative insight, not current engagement stats.</x:v>
      </x:c>
    </x:row>
  </x:sheetData>
  <x:pageMargins left="0.7" right="0.7" top="0.75" bottom="0.75" header="0.3" footer="0.3"/>
</x:worksheet>
</file>

<file path=xl/worksheets/sheet10.xml><?xml version="1.0" encoding="utf-8"?>
<x:worksheet xmlns:x="http://schemas.openxmlformats.org/spreadsheetml/2006/main">
  <x:sheetFormatPr defaultRowHeight="15"/>
  <x:sheetData>
    <x:row r="1">
      <x:c r="A1" s="3" t="str">
        <x:v>Metric</x:v>
      </x:c>
      <x:c r="B1" s="3" t="str">
        <x:v>Slowood IG</x:v>
      </x:c>
      <x:c r="C1" s="3" t="str">
        <x:v>Live Zero IG</x:v>
      </x:c>
      <x:c r="D1" s="3" t="str">
        <x:v>The Bulkshoppers IG</x:v>
      </x:c>
      <x:c r="E1" s="3" t="str">
        <x:v>Green Common IG</x:v>
      </x:c>
      <x:c r="F1" s="3" t="str">
        <x:v>Notes</x:v>
      </x:c>
    </x:row>
    <x:row r="2">
      <x:c r="A2" s="4" t="str">
        <x:v>Captured posts</x:v>
      </x:c>
      <x:c r="B2" s="4" t="n">
        <x:f>COUNTIF(Slowood_Content_Audit!M2:M100,"Captured")</x:f>
        <x:v>15</x:v>
      </x:c>
      <x:c r="C2" s="4" t="n">
        <x:f>COUNTIFS(Competitor_Post_Audit!A2:A100,"Live Zero",Competitor_Post_Audit!M2:M100,"Captured")</x:f>
        <x:v>10</x:v>
      </x:c>
      <x:c r="D2" s="4" t="n">
        <x:f>COUNTIFS(Competitor_Post_Audit!A2:A100,"The Bulkshoppers",Competitor_Post_Audit!M2:M100,"Captured")</x:f>
        <x:v>10</x:v>
      </x:c>
      <x:c r="E2" s="4" t="n">
        <x:f>COUNTIFS(Competitor_Post_Audit!A2:A100,"Green Common",Competitor_Post_Audit!M2:M100,"Captured")</x:f>
        <x:v>0</x:v>
      </x:c>
      <x:c r="F2" s="4" t="str">
        <x:v>Use Captured in Data Status to include rows in counts.</x:v>
      </x:c>
    </x:row>
    <x:row r="3">
      <x:c r="A3" s="4" t="str">
        <x:v>Avg likes</x:v>
      </x:c>
      <x:c r="B3" s="4" t="n">
        <x:f>IFERROR(AVERAGE(Slowood_Content_Audit!G2:G100),"")</x:f>
        <x:v>34.857142857142854</x:v>
      </x:c>
      <x:c r="C3" s="4" t="str">
        <x:f>IFERROR(AVERAGEIFS(Competitor_Post_Audit!G2:G100,Competitor_Post_Audit!A2:A100,"Live Zero"),"")</x:f>
      </x:c>
      <x:c r="D3" s="4" t="str">
        <x:f>IFERROR(AVERAGEIFS(Competitor_Post_Audit!G2:G100,Competitor_Post_Audit!A2:A100,"The Bulkshoppers"),"")</x:f>
      </x:c>
      <x:c r="E3" s="4" t="str">
        <x:f>IFERROR(AVERAGEIFS(Competitor_Post_Audit!G2:G100,Competitor_Post_Audit!A2:A100,"Green Common"),"")</x:f>
      </x:c>
      <x:c r="F3" s="4" t="str">
        <x:v>Average ignores blank likes cells.</x:v>
      </x:c>
    </x:row>
    <x:row r="4">
      <x:c r="A4" s="4" t="str">
        <x:v>Avg comments</x:v>
      </x:c>
      <x:c r="B4" s="4" t="n">
        <x:f>IFERROR(AVERAGE(Slowood_Content_Audit!H2:H100),"")</x:f>
        <x:v>0</x:v>
      </x:c>
      <x:c r="C4" s="4" t="str">
        <x:f>IFERROR(AVERAGEIFS(Competitor_Post_Audit!H2:H100,Competitor_Post_Audit!A2:A100,"Live Zero"),"")</x:f>
      </x:c>
      <x:c r="D4" s="4" t="str">
        <x:f>IFERROR(AVERAGEIFS(Competitor_Post_Audit!H2:H100,Competitor_Post_Audit!A2:A100,"The Bulkshoppers"),"")</x:f>
      </x:c>
      <x:c r="E4" s="4" t="str">
        <x:f>IFERROR(AVERAGEIFS(Competitor_Post_Audit!H2:H100,Competitor_Post_Audit!A2:A100,"Green Common"),"")</x:f>
      </x:c>
      <x:c r="F4" s="4" t="str">
        <x:v>Average ignores blank comments cells.</x:v>
      </x:c>
    </x:row>
    <x:row r="5">
      <x:c r="A5" s="4" t="str">
        <x:v>Avg interactions</x:v>
      </x:c>
      <x:c r="B5" s="4" t="n">
        <x:f>IFERROR(B3+B4,"")</x:f>
        <x:v>34.857142857142854</x:v>
      </x:c>
      <x:c r="C5" s="4" t="n">
        <x:f>IFERROR(C3+C4,"")</x:f>
        <x:v>0</x:v>
      </x:c>
      <x:c r="D5" s="4" t="n">
        <x:f>IFERROR(D3+D4,"")</x:f>
        <x:v>0</x:v>
      </x:c>
      <x:c r="E5" s="4" t="n">
        <x:f>IFERROR(E3+E4,"")</x:f>
        <x:v>0</x:v>
      </x:c>
      <x:c r="F5" s="4" t="str">
        <x:v>Avg likes + avg comments.</x:v>
      </x:c>
    </x:row>
    <x:row r="6">
      <x:c r="A6" s="4" t="str">
        <x:v>Product posts</x:v>
      </x:c>
      <x:c r="B6" s="4" t="n">
        <x:f>COUNTIF(Slowood_Content_Audit!E2:E100,"Product")</x:f>
        <x:v>0</x:v>
      </x:c>
      <x:c r="C6" s="4" t="n">
        <x:f>COUNTIFS(Competitor_Post_Audit!A2:A100,"Live Zero",Competitor_Post_Audit!E2:E100,"Product")</x:f>
        <x:v>4</x:v>
      </x:c>
      <x:c r="D6" s="4" t="n">
        <x:f>COUNTIFS(Competitor_Post_Audit!A2:A100,"The Bulkshoppers",Competitor_Post_Audit!E2:E100,"Product")</x:f>
        <x:v>2</x:v>
      </x:c>
      <x:c r="E6" s="4" t="n">
        <x:f>COUNTIFS(Competitor_Post_Audit!A2:A100,"Green Common",Competitor_Post_Audit!E2:E100,"Product")</x:f>
        <x:v>0</x:v>
      </x:c>
      <x:c r="F6" s="4" t="str">
        <x:v>Manual content-type coding.</x:v>
      </x:c>
    </x:row>
    <x:row r="7">
      <x:c r="A7" s="4" t="str">
        <x:v>Education posts</x:v>
      </x:c>
      <x:c r="B7" s="4" t="n">
        <x:f>COUNTIF(Slowood_Content_Audit!E2:E100,"Education")</x:f>
        <x:v>9</x:v>
      </x:c>
      <x:c r="C7" s="4" t="n">
        <x:f>COUNTIFS(Competitor_Post_Audit!A2:A100,"Live Zero",Competitor_Post_Audit!E2:E100,"Education")</x:f>
        <x:v>4</x:v>
      </x:c>
      <x:c r="D7" s="4" t="n">
        <x:f>COUNTIFS(Competitor_Post_Audit!A2:A100,"The Bulkshoppers",Competitor_Post_Audit!E2:E100,"Education")</x:f>
        <x:v>1</x:v>
      </x:c>
      <x:c r="E7" s="4" t="n">
        <x:f>COUNTIFS(Competitor_Post_Audit!A2:A100,"Green Common",Competitor_Post_Audit!E2:E100,"Education")</x:f>
        <x:v>0</x:v>
      </x:c>
      <x:c r="F7" s="4" t="str">
        <x:v>Manual content-type coding.</x:v>
      </x:c>
    </x:row>
    <x:row r="8">
      <x:c r="A8" s="4" t="str">
        <x:v>Event posts</x:v>
      </x:c>
      <x:c r="B8" s="4" t="n">
        <x:f>COUNTIF(Slowood_Content_Audit!E2:E100,"Event")</x:f>
        <x:v>0</x:v>
      </x:c>
      <x:c r="C8" s="4" t="n">
        <x:f>COUNTIFS(Competitor_Post_Audit!A2:A100,"Live Zero",Competitor_Post_Audit!E2:E100,"Event")</x:f>
        <x:v>0</x:v>
      </x:c>
      <x:c r="D8" s="4" t="n">
        <x:f>COUNTIFS(Competitor_Post_Audit!A2:A100,"The Bulkshoppers",Competitor_Post_Audit!E2:E100,"Event")</x:f>
        <x:v>0</x:v>
      </x:c>
      <x:c r="E8" s="4" t="n">
        <x:f>COUNTIFS(Competitor_Post_Audit!A2:A100,"Green Common",Competitor_Post_Audit!E2:E100,"Event")</x:f>
        <x:v>0</x:v>
      </x:c>
      <x:c r="F8" s="4" t="str">
        <x:v>Manual content-type coding.</x:v>
      </x:c>
    </x:row>
    <x:row r="9">
      <x:c r="A9" s="4" t="str">
        <x:v>UGC posts</x:v>
      </x:c>
      <x:c r="B9" s="4" t="n">
        <x:f>COUNTIF(Slowood_Content_Audit!E2:E100,"UGC")</x:f>
        <x:v>0</x:v>
      </x:c>
      <x:c r="C9" s="4" t="n">
        <x:f>COUNTIFS(Competitor_Post_Audit!A2:A100,"Live Zero",Competitor_Post_Audit!E2:E100,"UGC")</x:f>
        <x:v>0</x:v>
      </x:c>
      <x:c r="D9" s="4" t="n">
        <x:f>COUNTIFS(Competitor_Post_Audit!A2:A100,"The Bulkshoppers",Competitor_Post_Audit!E2:E100,"UGC")</x:f>
        <x:v>0</x:v>
      </x:c>
      <x:c r="E9" s="4" t="n">
        <x:f>COUNTIFS(Competitor_Post_Audit!A2:A100,"Green Common",Competitor_Post_Audit!E2:E100,"UGC")</x:f>
        <x:v>0</x:v>
      </x:c>
      <x:c r="F9" s="4" t="str">
        <x:v>Manual content-type coding.</x:v>
      </x:c>
    </x:row>
    <x:row r="10">
      <x:c r="A10" s="4" t="str">
        <x:v>Lifestyle posts</x:v>
      </x:c>
      <x:c r="B10" s="4" t="n">
        <x:f>COUNTIF(Slowood_Content_Audit!E2:E100,"Lifestyle")</x:f>
        <x:v>4</x:v>
      </x:c>
      <x:c r="C10" s="4" t="n">
        <x:f>COUNTIFS(Competitor_Post_Audit!A2:A100,"Live Zero",Competitor_Post_Audit!E2:E100,"Lifestyle")</x:f>
        <x:v>1</x:v>
      </x:c>
      <x:c r="D10" s="4" t="n">
        <x:f>COUNTIFS(Competitor_Post_Audit!A2:A100,"The Bulkshoppers",Competitor_Post_Audit!E2:E100,"Lifestyle")</x:f>
        <x:v>0</x:v>
      </x:c>
      <x:c r="E10" s="4" t="n">
        <x:f>COUNTIFS(Competitor_Post_Audit!A2:A100,"Green Common",Competitor_Post_Audit!E2:E100,"Lifestyle")</x:f>
        <x:v>0</x:v>
      </x:c>
      <x:c r="F10" s="4" t="str">
        <x:v>Manual content-type coding.</x:v>
      </x:c>
    </x:row>
    <x:row r="11">
      <x:c r="A11" s="4" t="str">
        <x:v>Promo posts</x:v>
      </x:c>
      <x:c r="B11" s="4" t="n">
        <x:f>COUNTIF(Slowood_Content_Audit!E2:E100,"Promo")</x:f>
        <x:v>2</x:v>
      </x:c>
      <x:c r="C11" s="4" t="n">
        <x:f>COUNTIFS(Competitor_Post_Audit!A2:A100,"Live Zero",Competitor_Post_Audit!E2:E100,"Promo")</x:f>
        <x:v>0</x:v>
      </x:c>
      <x:c r="D11" s="4" t="n">
        <x:f>COUNTIFS(Competitor_Post_Audit!A2:A100,"The Bulkshoppers",Competitor_Post_Audit!E2:E100,"Promo")</x:f>
        <x:v>0</x:v>
      </x:c>
      <x:c r="E11" s="4" t="n">
        <x:f>COUNTIFS(Competitor_Post_Audit!A2:A100,"Green Common",Competitor_Post_Audit!E2:E100,"Promo")</x:f>
        <x:v>0</x:v>
      </x:c>
      <x:c r="F11" s="4" t="str">
        <x:v>Manual content-type coding.</x:v>
      </x:c>
    </x:row>
    <x:row r="12">
      <x:c r="A12" s="4" t="str">
        <x:v>Store update posts</x:v>
      </x:c>
      <x:c r="B12" s="4" t="n">
        <x:f>COUNTIF(Slowood_Content_Audit!E2:E100,"Store Update")</x:f>
        <x:v>0</x:v>
      </x:c>
      <x:c r="C12" s="4" t="n">
        <x:f>COUNTIFS(Competitor_Post_Audit!A2:A100,"Live Zero",Competitor_Post_Audit!E2:E100,"Store Update")</x:f>
        <x:v>1</x:v>
      </x:c>
      <x:c r="D12" s="4" t="n">
        <x:f>COUNTIFS(Competitor_Post_Audit!A2:A100,"The Bulkshoppers",Competitor_Post_Audit!E2:E100,"Store Update")</x:f>
        <x:v>7</x:v>
      </x:c>
      <x:c r="E12" s="4" t="n">
        <x:f>COUNTIFS(Competitor_Post_Audit!A2:A100,"Green Common",Competitor_Post_Audit!E2:E100,"Store Update")</x:f>
        <x:v>0</x:v>
      </x:c>
      <x:c r="F12" s="4" t="str">
        <x:v>Manual content-type coding.</x:v>
      </x:c>
    </x:row>
    <x:row r="13">
      <x:c r="A13" s="4" t="str">
        <x:v>Reels / video posts</x:v>
      </x:c>
      <x:c r="B13" s="4" t="n">
        <x:f>COUNTIF(Slowood_Content_Audit!F2:F100,"Reel")+COUNTIF(Slowood_Content_Audit!F2:F100,"Video")</x:f>
        <x:v>0</x:v>
      </x:c>
      <x:c r="C13" s="4" t="n">
        <x:f>COUNTIFS(Competitor_Post_Audit!A2:A100,"Live Zero",Competitor_Post_Audit!F2:F100,"Reel")+COUNTIFS(Competitor_Post_Audit!A2:A100,"Live Zero",Competitor_Post_Audit!F2:F100,"Video")</x:f>
        <x:v>3</x:v>
      </x:c>
      <x:c r="D13" s="4" t="n">
        <x:f>COUNTIFS(Competitor_Post_Audit!A2:A100,"The Bulkshoppers",Competitor_Post_Audit!F2:F100,"Reel")+COUNTIFS(Competitor_Post_Audit!A2:A100,"The Bulkshoppers",Competitor_Post_Audit!F2:F100,"Video")</x:f>
        <x:v>0</x:v>
      </x:c>
      <x:c r="E13" s="4" t="n">
        <x:f>COUNTIFS(Competitor_Post_Audit!A2:A100,"Green Common",Competitor_Post_Audit!F2:F100,"Reel")+COUNTIFS(Competitor_Post_Audit!A2:A100,"Green Common",Competitor_Post_Audit!F2:F100,"Video")</x:f>
        <x:v>0</x:v>
      </x:c>
      <x:c r="F13" s="4" t="str">
        <x:v>Format coding: Reel or Video.</x:v>
      </x:c>
    </x:row>
    <x:row r="14">
      <x:c r="A14" s="4" t="str">
        <x:v>Static image posts</x:v>
      </x:c>
      <x:c r="B14" s="4" t="n">
        <x:f>COUNTIF(Slowood_Content_Audit!F2:F100,"Static Image")</x:f>
        <x:v>3</x:v>
      </x:c>
      <x:c r="C14" s="4" t="n">
        <x:f>COUNTIFS(Competitor_Post_Audit!A2:A100,"Live Zero",Competitor_Post_Audit!F2:F100,"Static Image")</x:f>
        <x:v>1</x:v>
      </x:c>
      <x:c r="D14" s="4" t="n">
        <x:f>COUNTIFS(Competitor_Post_Audit!A2:A100,"The Bulkshoppers",Competitor_Post_Audit!F2:F100,"Static Image")</x:f>
        <x:v>1</x:v>
      </x:c>
      <x:c r="E14" s="4" t="n">
        <x:f>COUNTIFS(Competitor_Post_Audit!A2:A100,"Green Common",Competitor_Post_Audit!F2:F100,"Static Image")</x:f>
        <x:v>0</x:v>
      </x:c>
      <x:c r="F14" s="4" t="str">
        <x:v>Format coding: Static Image.</x:v>
      </x:c>
    </x:row>
    <x:row r="15">
      <x:c r="A15" s="4" t="str">
        <x:v>Carousel posts</x:v>
      </x:c>
      <x:c r="B15" s="4" t="n">
        <x:f>COUNTIF(Slowood_Content_Audit!F2:F100,"Carousel")</x:f>
        <x:v>12</x:v>
      </x:c>
      <x:c r="C15" s="4" t="n">
        <x:f>COUNTIFS(Competitor_Post_Audit!A2:A100,"Live Zero",Competitor_Post_Audit!F2:F100,"Carousel")</x:f>
        <x:v>6</x:v>
      </x:c>
      <x:c r="D15" s="4" t="n">
        <x:f>COUNTIFS(Competitor_Post_Audit!A2:A100,"The Bulkshoppers",Competitor_Post_Audit!F2:F100,"Carousel")</x:f>
        <x:v>9</x:v>
      </x:c>
      <x:c r="E15" s="4" t="n">
        <x:f>COUNTIFS(Competitor_Post_Audit!A2:A100,"Green Common",Competitor_Post_Audit!F2:F100,"Carousel")</x:f>
        <x:v>0</x:v>
      </x:c>
      <x:c r="F15" s="4" t="str">
        <x:v>Format coding: Carousel.</x:v>
      </x:c>
    </x:row>
    <x:row r="16">
      <x:c r="A16" s="4" t="str">
        <x:v>Top post URL by interactions</x:v>
      </x:c>
      <x:c r="B16" s="4" t="str">
        <x:f>IFERROR(INDEX(Slowood_Content_Audit!C2:C100,MATCH(MAX(Slowood_Content_Audit!G2:G100+Slowood_Content_Audit!H2:H100),Slowood_Content_Audit!G2:G100+Slowood_Content_Audit!H2:H100,0)),"")</x:f>
        <x:v>https://www.instagram.com/slowood.hk/p/DIu-oGLvkBk/</x:v>
      </x:c>
      <x:c r="C16" s="4" t="str">
        <x:f>IFERROR(INDEX(Competitor_Post_Audit!C2:C100,MATCH(MAX((Competitor_Post_Audit!A2:A100="Live Zero")*(Competitor_Post_Audit!G2:G100+Competitor_Post_Audit!H2:H100)),(Competitor_Post_Audit!A2:A100="Live Zero")*(Competitor_Post_Audit!G2:G100+Competitor_Post_Audit!H2:H100),0)),"")</x:f>
        <x:v>https://www.instagram.com/livezero.hk/p/DWnkpiiEbkW/</x:v>
      </x:c>
      <x:c r="D16" s="4" t="str">
        <x:f>IFERROR(INDEX(Competitor_Post_Audit!C2:C100,MATCH(MAX((Competitor_Post_Audit!A2:A100="The Bulkshoppers")*(Competitor_Post_Audit!G2:G100+Competitor_Post_Audit!H2:H100)),(Competitor_Post_Audit!A2:A100="The Bulkshoppers")*(Competitor_Post_Audit!G2:G100+Competitor_Post_Audit!H2:H100),0)),"")</x:f>
        <x:v>https://www.instagram.com/thebulkshoppers/p/DY6sLpcja3v/</x:v>
      </x:c>
      <x:c r="E16" s="4" t="str">
        <x:f>IFERROR(INDEX(Competitor_Post_Audit!C2:C100,MATCH(MAX((Competitor_Post_Audit!A2:A100="Green Common")*(Competitor_Post_Audit!G2:G100+Competitor_Post_Audit!H2:H100)),(Competitor_Post_Audit!A2:A100="Green Common")*(Competitor_Post_Audit!G2:G100+Competitor_Post_Audit!H2:H100),0)),"")</x:f>
        <x:v>https://www.instagram.com/livezero.hk/p/DYq-GvUn6wq/</x:v>
      </x:c>
      <x:c r="F16" s="4" t="str">
        <x:v>Returns URL once numeric likes/comments are entered.</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s="3" t="str">
        <x:v>Account</x:v>
      </x:c>
      <x:c r="B1" s="3" t="str">
        <x:v>Captured Posts</x:v>
      </x:c>
      <x:c r="C1" s="3" t="str">
        <x:v>Earliest Date</x:v>
      </x:c>
      <x:c r="D1" s="3" t="str">
        <x:v>Latest Date</x:v>
      </x:c>
      <x:c r="E1" s="3" t="str">
        <x:v>Date Span Days</x:v>
      </x:c>
      <x:c r="F1" s="3" t="str">
        <x:v>Avg Posts / Week</x:v>
      </x:c>
      <x:c r="G1" s="3" t="str">
        <x:v>Largest Gap Days</x:v>
      </x:c>
      <x:c r="H1" s="3" t="str">
        <x:v>Interpretation</x:v>
      </x:c>
    </x:row>
    <x:row r="2">
      <x:c r="A2" s="4" t="str">
        <x:v>Slowood</x:v>
      </x:c>
      <x:c r="B2" s="4" t="n">
        <x:f>COUNTIF(Slowood_Content_Audit!M2:M100,"Captured")</x:f>
        <x:v>15</x:v>
      </x:c>
      <x:c r="C2" s="4" t="str">
        <x:f>IF(B2=0,"",IFERROR(MINIFS(Slowood_Content_Audit!D2:D100,Slowood_Content_Audit!M2:M100,"Captured"),""))</x:f>
      </x:c>
      <x:c r="D2" s="4" t="n">
        <x:f>IF(B2=0,"",IFERROR(MAXIFS(Slowood_Content_Audit!D2:D100,Slowood_Content_Audit!M2:M100,"Captured"),""))</x:f>
        <x:v>0</x:v>
      </x:c>
      <x:c r="E2" s="4" t="n">
        <x:f>IF(B2=0,"",IFERROR(D2-C2+1,""))</x:f>
        <x:v>1</x:v>
      </x:c>
      <x:c r="F2" s="4" t="n">
        <x:f>IF(B2=0,"",IFERROR(B2/(E2/7),""))</x:f>
        <x:v>105</x:v>
      </x:c>
      <x:c r="G2" s="4" t="str">
        <x:f>IF(B2&lt;2,"Need more dates","Sort captured rows by date to inspect gaps")</x:f>
        <x:v>Sort captured rows by date to inspect gaps</x:v>
      </x:c>
      <x:c r="H2" s="4" t="str">
        <x:f>IF(B2=0,"No captured current sample yet",IF(F2&lt;1,"Low frequency in captured sample",IF(F2&gt;4,"High frequency or clustered posting","Moderate frequency in captured sample")))</x:f>
        <x:v>High frequency or clustered posting</x:v>
      </x:c>
    </x:row>
    <x:row r="3">
      <x:c r="A3" s="4" t="str">
        <x:v>Live Zero</x:v>
      </x:c>
      <x:c r="B3" s="4" t="n">
        <x:f>COUNTIFS(Competitor_Post_Audit!A2:A100,"Live Zero",Competitor_Post_Audit!M2:M100,"Captured")</x:f>
        <x:v>10</x:v>
      </x:c>
      <x:c r="C3" s="4" t="str">
        <x:f>IF(B3=0,"",IFERROR(MINIFS(Competitor_Post_Audit!D2:D100,Competitor_Post_Audit!A2:A100,"Live Zero",Competitor_Post_Audit!M2:M100,"Captured"),""))</x:f>
      </x:c>
      <x:c r="D3" s="4" t="n">
        <x:f>IF(B3=0,"",IFERROR(MAXIFS(Competitor_Post_Audit!D2:D100,Competitor_Post_Audit!A2:A100,"Live Zero",Competitor_Post_Audit!M2:M100,"Captured"),""))</x:f>
        <x:v>0</x:v>
      </x:c>
      <x:c r="E3" s="4" t="n">
        <x:f>IF(B3=0,"",IFERROR(D3-C3+1,""))</x:f>
        <x:v>1</x:v>
      </x:c>
      <x:c r="F3" s="4" t="n">
        <x:f>IF(B3=0,"",IFERROR(B3/(E3/7),""))</x:f>
        <x:v>70</x:v>
      </x:c>
      <x:c r="G3" s="4" t="str">
        <x:f>IF(B3&lt;2,"Need more dates","Sort captured rows by date to inspect gaps")</x:f>
        <x:v>Sort captured rows by date to inspect gaps</x:v>
      </x:c>
      <x:c r="H3" s="4" t="str">
        <x:f>IF(B3=0,"No captured current sample yet",IF(F3&lt;1,"Low frequency in captured sample",IF(F3&gt;4,"High frequency or clustered posting","Moderate frequency in captured sample")))</x:f>
        <x:v>High frequency or clustered posting</x:v>
      </x:c>
    </x:row>
    <x:row r="4">
      <x:c r="A4" s="4" t="str">
        <x:v>The Bulkshoppers</x:v>
      </x:c>
      <x:c r="B4" s="4" t="n">
        <x:f>COUNTIFS(Competitor_Post_Audit!A2:A100,"The Bulkshoppers",Competitor_Post_Audit!M2:M100,"Captured")</x:f>
        <x:v>10</x:v>
      </x:c>
      <x:c r="C4" s="4" t="str">
        <x:f>IF(B4=0,"",IFERROR(MINIFS(Competitor_Post_Audit!D2:D100,Competitor_Post_Audit!A2:A100,"The Bulkshoppers",Competitor_Post_Audit!M2:M100,"Captured"),""))</x:f>
      </x:c>
      <x:c r="D4" s="4" t="n">
        <x:f>IF(B4=0,"",IFERROR(MAXIFS(Competitor_Post_Audit!D2:D100,Competitor_Post_Audit!A2:A100,"The Bulkshoppers",Competitor_Post_Audit!M2:M100,"Captured"),""))</x:f>
        <x:v>0</x:v>
      </x:c>
      <x:c r="E4" s="4" t="n">
        <x:f>IF(B4=0,"",IFERROR(D4-C4+1,""))</x:f>
        <x:v>1</x:v>
      </x:c>
      <x:c r="F4" s="4" t="n">
        <x:f>IF(B4=0,"",IFERROR(B4/(E4/7),""))</x:f>
        <x:v>70</x:v>
      </x:c>
      <x:c r="G4" s="4" t="str">
        <x:f>IF(B4&lt;2,"Need more dates","Sort captured rows by date to inspect gaps")</x:f>
        <x:v>Sort captured rows by date to inspect gaps</x:v>
      </x:c>
      <x:c r="H4" s="4" t="str">
        <x:f>IF(B4=0,"No captured current sample yet",IF(F4&lt;1,"Low frequency in captured sample",IF(F4&gt;4,"High frequency or clustered posting","Moderate frequency in captured sample")))</x:f>
        <x:v>High frequency or clustered posting</x:v>
      </x:c>
    </x:row>
    <x:row r="5">
      <x:c r="A5" s="4" t="str">
        <x:v>Green Common</x:v>
      </x:c>
      <x:c r="B5" s="4" t="n">
        <x:f>COUNTIFS(Competitor_Post_Audit!A2:A100,"Green Common",Competitor_Post_Audit!M2:M100,"Captured")</x:f>
        <x:v>0</x:v>
      </x:c>
      <x:c r="C5" s="4" t="str">
        <x:f>IF(B5=0,"",IFERROR(MINIFS(Competitor_Post_Audit!D2:D100,Competitor_Post_Audit!A2:A100,"Green Common",Competitor_Post_Audit!M2:M100,"Captured"),""))</x:f>
      </x:c>
      <x:c r="D5" s="4" t="str">
        <x:f>IF(B5=0,"",IFERROR(MAXIFS(Competitor_Post_Audit!D2:D100,Competitor_Post_Audit!A2:A100,"Green Common",Competitor_Post_Audit!M2:M100,"Captured"),""))</x:f>
      </x:c>
      <x:c r="E5" s="4" t="str">
        <x:f>IF(B5=0,"",IFERROR(D5-C5+1,""))</x:f>
      </x:c>
      <x:c r="F5" s="4" t="str">
        <x:f>IF(B5=0,"",IFERROR(B5/(E5/7),""))</x:f>
      </x:c>
      <x:c r="G5" s="4" t="str">
        <x:f>IF(B5&lt;2,"Need more dates","Sort captured rows by date to inspect gaps")</x:f>
        <x:v>Need more dates</x:v>
      </x:c>
      <x:c r="H5" s="4" t="str">
        <x:f>IF(B5=0,"No captured current sample yet",IF(F5&lt;1,"Low frequency in captured sample",IF(F5&gt;4,"High frequency or clustered posting","Moderate frequency in captured sample")))</x:f>
        <x:v>No captured current sample yet</x:v>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s="3" t="str">
        <x:v>Brand</x:v>
      </x:c>
      <x:c r="B1" s="3" t="str">
        <x:v>Role</x:v>
      </x:c>
      <x:c r="C1" s="3" t="str">
        <x:v>Account / Source</x:v>
      </x:c>
      <x:c r="D1" s="3" t="str">
        <x:v>Followers</x:v>
      </x:c>
      <x:c r="E1" s="3" t="str">
        <x:v>Posts</x:v>
      </x:c>
      <x:c r="F1" s="3" t="str">
        <x:v>Positioning</x:v>
      </x:c>
      <x:c r="G1" s="3" t="str">
        <x:v>Likely Content Pillars</x:v>
      </x:c>
      <x:c r="H1" s="3" t="str">
        <x:v>Observed Advantage</x:v>
      </x:c>
      <x:c r="I1" s="3" t="str">
        <x:v>Engagement Sample Status</x:v>
      </x:c>
      <x:c r="J1" s="3" t="str">
        <x:v>Implication for Slowood</x:v>
      </x:c>
    </x:row>
    <x:row r="2">
      <x:c r="A2" s="4" t="str">
        <x:v>Slowood</x:v>
      </x:c>
      <x:c r="B2" s="4" t="str">
        <x:v>Direct brand</x:v>
      </x:c>
      <x:c r="C2" s="4" t="str">
        <x:v>@slowood.hk</x:v>
      </x:c>
      <x:c r="D2" s="4" t="str">
        <x:v>36K</x:v>
      </x:c>
      <x:c r="E2" s="4" t="str">
        <x:v>1,030</x:v>
      </x:c>
      <x:c r="F2" s="4" t="str">
        <x:v>Sustainable lifestyle + zero-waste store</x:v>
      </x:c>
      <x:c r="G2" s="4" t="str">
        <x:v>Product catalog, refill station, store network, sustainable lifestyle education</x:v>
      </x:c>
      <x:c r="H2" s="4" t="str">
        <x:v>Potentially strong store aesthetic and mission, but content activation risk if posts stay product/brand-led.</x:v>
      </x:c>
      <x:c r="I2" s="4" t="str">
        <x:v>Unknown from public static access</x:v>
      </x:c>
      <x:c r="J2" s="4" t="str">
        <x:v>Opportunity: turn refill/sustainable living into repeatable shareable challenges and UGC prompts.</x:v>
      </x:c>
    </x:row>
    <x:row r="3">
      <x:c r="A3" s="4" t="str">
        <x:v>Live Zero</x:v>
      </x:c>
      <x:c r="B3" s="4" t="str">
        <x:v>Direct competitor</x:v>
      </x:c>
      <x:c r="C3" s="4" t="str">
        <x:v>@livezero.hk</x:v>
      </x:c>
      <x:c r="D3" s="4" t="str">
        <x:v>17K</x:v>
      </x:c>
      <x:c r="E3" s="4" t="str">
        <x:v>615</x:v>
      </x:c>
      <x:c r="F3" s="4" t="str">
        <x:v>Hong Kong's first zero-waste grocery store</x:v>
      </x:c>
      <x:c r="G3" s="4" t="str">
        <x:v>Bulk food, eco products, store operation updates, low-waste grocery behavior</x:v>
      </x:c>
      <x:c r="H3" s="4" t="str">
        <x:v>Sharper category claim; likely easier for users to understand why to follow.</x:v>
      </x:c>
      <x:c r="I3" s="4" t="str">
        <x:v>Unknown from public static access</x:v>
      </x:c>
      <x:c r="J3" s="4" t="str">
        <x:v>Opportunity: compare Slowood's broader lifestyle range against Live Zero's direct zero-waste clarity.</x:v>
      </x:c>
    </x:row>
    <x:row r="4">
      <x:c r="A4" s="4" t="str">
        <x:v>The Bulkshoppers</x:v>
      </x:c>
      <x:c r="B4" s="4" t="str">
        <x:v>Direct/local niche competitor</x:v>
      </x:c>
      <x:c r="C4" s="4" t="str">
        <x:v>@thebulkshoppers</x:v>
      </x:c>
      <x:c r="D4" s="4" t="str">
        <x:v>3,231</x:v>
      </x:c>
      <x:c r="E4" s="4" t="str">
        <x:v>1,586</x:v>
      </x:c>
      <x:c r="F4" s="4" t="str">
        <x:v>Tai Po bare/bulk shop</x:v>
      </x:c>
      <x:c r="G4" s="4" t="str">
        <x:v>Local product updates, opening hours, practical refill/bulk goods</x:v>
      </x:c>
      <x:c r="H4" s="4" t="str">
        <x:v>Community-local tone and high posting volume; less polished but more operationally specific.</x:v>
      </x:c>
      <x:c r="I4" s="4" t="str">
        <x:v>Unknown from public static access</x:v>
      </x:c>
      <x:c r="J4" s="4" t="str">
        <x:v>Opportunity: Slowood can keep polish while adding more practical store-use detail.</x:v>
      </x:c>
    </x:row>
    <x:row r="5">
      <x:c r="A5" s="4" t="str">
        <x:v>Green Common</x:v>
      </x:c>
      <x:c r="B5" s="4" t="str">
        <x:v>Indirect benchmark</x:v>
      </x:c>
      <x:c r="C5" s="4" t="str">
        <x:v>website + OmniFoods HK proxy</x:v>
      </x:c>
      <x:c r="D5" s="4" t="str">
        <x:v>N/A</x:v>
      </x:c>
      <x:c r="E5" s="4" t="str">
        <x:v>N/A</x:v>
      </x:c>
      <x:c r="F5" s="4" t="str">
        <x:v>Plant-based grocery/eating as an easier lifestyle choice</x:v>
      </x:c>
      <x:c r="G5" s="4" t="str">
        <x:v>Recipes, meal kits, product use cases, influencer/cooking activation</x:v>
      </x:c>
      <x:c r="H5" s="4" t="str">
        <x:v>Turns sustainability into 'what can I eat/make/share today' rather than abstract eco value.</x:v>
      </x:c>
      <x:c r="I5" s="4" t="str">
        <x:v>Not same-channel comparable</x:v>
      </x:c>
      <x:c r="J5" s="4" t="str">
        <x:v>Opportunity: Slowood can translate zero-waste into routines: refill haul, pantry restock, lunchbox, travel kit.</x:v>
      </x:c>
    </x:row>
  </x:sheetData>
  <x:pageMargins left="0.7" right="0.7" top="0.75" bottom="0.75" header="0.3" footer="0.3"/>
</x:worksheet>
</file>

<file path=xl/worksheets/sheet13.xml><?xml version="1.0" encoding="utf-8"?>
<x:worksheet xmlns:x="http://schemas.openxmlformats.org/spreadsheetml/2006/main">
  <x:sheetFormatPr defaultRowHeight="15"/>
  <x:sheetData>
    <x:row r="1">
      <x:c r="A1" s="3" t="str">
        <x:v>Brand</x:v>
      </x:c>
      <x:c r="B1" s="3" t="str">
        <x:v>Platform</x:v>
      </x:c>
      <x:c r="C1" s="3" t="str">
        <x:v>Handle</x:v>
      </x:c>
      <x:c r="D1" s="3" t="str">
        <x:v>Metric Source</x:v>
      </x:c>
      <x:c r="E1" s="3" t="str">
        <x:v>Captured / Snapshot Date</x:v>
      </x:c>
      <x:c r="F1" s="3" t="str">
        <x:v>Followers</x:v>
      </x:c>
      <x:c r="G1" s="3" t="str">
        <x:v>Posts</x:v>
      </x:c>
      <x:c r="H1" s="3" t="str">
        <x:v>Avg Likes</x:v>
      </x:c>
      <x:c r="I1" s="3" t="str">
        <x:v>Avg Comments</x:v>
      </x:c>
      <x:c r="J1" s="3" t="str">
        <x:v>Estimated ER</x:v>
      </x:c>
      <x:c r="K1" s="3" t="str">
        <x:v>Caveat / Note</x:v>
      </x:c>
    </x:row>
    <x:row r="2">
      <x:c r="A2" s="4" t="str">
        <x:v>Slowood</x:v>
      </x:c>
      <x:c r="B2" s="4" t="str">
        <x:v>Instagram</x:v>
      </x:c>
      <x:c r="C2" s="4" t="str">
        <x:v>@slowood.hk</x:v>
      </x:c>
      <x:c r="D2" s="4" t="str">
        <x:v>Instagram profile metadata</x:v>
      </x:c>
      <x:c r="E2" s="4" t="str">
        <x:v>2026-06-05</x:v>
      </x:c>
      <x:c r="F2" s="4" t="str">
        <x:v>36K</x:v>
      </x:c>
      <x:c r="G2" s="4" t="str">
        <x:v>1,030</x:v>
      </x:c>
      <x:c r="H2" s="4" t="str"/>
      <x:c r="I2" s="4" t="str"/>
      <x:c r="J2" s="4" t="str"/>
      <x:c r="K2" s="4" t="str">
        <x:v>Current public profile-level metadata; no post-level data exposed.</x:v>
      </x:c>
    </x:row>
    <x:row r="3">
      <x:c r="A3" s="4" t="str">
        <x:v>Slowood</x:v>
      </x:c>
      <x:c r="B3" s="4" t="str">
        <x:v>Instagram</x:v>
      </x:c>
      <x:c r="C3" s="4" t="str">
        <x:v>@slowood.hk</x:v>
      </x:c>
      <x:c r="D3" s="4" t="str">
        <x:v>SocialAuditor third-party snapshot</x:v>
      </x:c>
      <x:c r="E3" s="4" t="str">
        <x:v>snapshot date unknown; likely historical</x:v>
      </x:c>
      <x:c r="F3" s="4" t="str">
        <x:v>10,360</x:v>
      </x:c>
      <x:c r="G3" s="4" t="str">
        <x:v>397</x:v>
      </x:c>
      <x:c r="H3" s="4" t="str">
        <x:v>57.67</x:v>
      </x:c>
      <x:c r="I3" s="4" t="str">
        <x:v>0.67</x:v>
      </x:c>
      <x:c r="J3" s="4" t="str">
        <x:v>0.56%</x:v>
      </x:c>
      <x:c r="K3" s="4" t="str">
        <x:v>Use only as historical engagement signal; conflicts with current 36K follower/1,030-post Instagram metadata.</x:v>
      </x:c>
    </x:row>
    <x:row r="4">
      <x:c r="A4" s="4" t="str">
        <x:v>Live Zero</x:v>
      </x:c>
      <x:c r="B4" s="4" t="str">
        <x:v>Instagram</x:v>
      </x:c>
      <x:c r="C4" s="4" t="str">
        <x:v>@livezero.hk</x:v>
      </x:c>
      <x:c r="D4" s="4" t="str">
        <x:v>Instagram profile metadata</x:v>
      </x:c>
      <x:c r="E4" s="4" t="str">
        <x:v>2026-06-05</x:v>
      </x:c>
      <x:c r="F4" s="4" t="str">
        <x:v>17K</x:v>
      </x:c>
      <x:c r="G4" s="4" t="str">
        <x:v>615</x:v>
      </x:c>
      <x:c r="H4" s="4" t="str"/>
      <x:c r="I4" s="4" t="str"/>
      <x:c r="J4" s="4" t="str"/>
      <x:c r="K4" s="4" t="str">
        <x:v>Current public profile-level metadata.</x:v>
      </x:c>
    </x:row>
    <x:row r="5">
      <x:c r="A5" s="4" t="str">
        <x:v>Live Zero</x:v>
      </x:c>
      <x:c r="B5" s="4" t="str">
        <x:v>Instagram</x:v>
      </x:c>
      <x:c r="C5" s="4" t="str">
        <x:v>@livezero.hk</x:v>
      </x:c>
      <x:c r="D5" s="4" t="str">
        <x:v>SocialAuditor third-party snapshot</x:v>
      </x:c>
      <x:c r="E5" s="4" t="str">
        <x:v>snapshot date unknown</x:v>
      </x:c>
      <x:c r="F5" s="4" t="str">
        <x:v>16,607</x:v>
      </x:c>
      <x:c r="G5" s="4" t="str">
        <x:v>341</x:v>
      </x:c>
      <x:c r="H5" s="4" t="str">
        <x:v>188.67</x:v>
      </x:c>
      <x:c r="I5" s="4" t="str">
        <x:v>7.67</x:v>
      </x:c>
      <x:c r="J5" s="4" t="str">
        <x:v>1.18%</x:v>
      </x:c>
      <x:c r="K5" s="4" t="str">
        <x:v>Direct competitor has materially higher average interaction than Slowood in this third-party snapshot.</x:v>
      </x:c>
    </x:row>
    <x:row r="6">
      <x:c r="A6" s="4" t="str">
        <x:v>Green Common</x:v>
      </x:c>
      <x:c r="B6" s="4" t="str">
        <x:v>Instagram</x:v>
      </x:c>
      <x:c r="C6" s="4" t="str">
        <x:v>@green_common</x:v>
      </x:c>
      <x:c r="D6" s="4" t="str">
        <x:v>SocialAuditor third-party snapshot</x:v>
      </x:c>
      <x:c r="E6" s="4" t="str">
        <x:v>snapshot date unknown</x:v>
      </x:c>
      <x:c r="F6" s="4" t="str">
        <x:v>29,543</x:v>
      </x:c>
      <x:c r="G6" s="4" t="str">
        <x:v>2,443</x:v>
      </x:c>
      <x:c r="H6" s="4" t="str">
        <x:v>127.33</x:v>
      </x:c>
      <x:c r="I6" s="4" t="str">
        <x:v>1.92</x:v>
      </x:c>
      <x:c r="J6" s="4" t="str">
        <x:v>0.44%</x:v>
      </x:c>
      <x:c r="K6" s="4" t="str">
        <x:v>Indirect benchmark; lower ER than Live Zero, but stronger recipe/use-case content pattern from post snippets/search evidence.</x:v>
      </x:c>
    </x:row>
    <x:row r="7">
      <x:c r="A7" s="4" t="str">
        <x:v>The Bulkshoppers</x:v>
      </x:c>
      <x:c r="B7" s="4" t="str">
        <x:v>Instagram</x:v>
      </x:c>
      <x:c r="C7" s="4" t="str">
        <x:v>@thebulkshoppers</x:v>
      </x:c>
      <x:c r="D7" s="4" t="str">
        <x:v>Instagram profile metadata</x:v>
      </x:c>
      <x:c r="E7" s="4" t="str">
        <x:v>2026-06-05</x:v>
      </x:c>
      <x:c r="F7" s="4" t="str">
        <x:v>3,231</x:v>
      </x:c>
      <x:c r="G7" s="4" t="str">
        <x:v>1,586</x:v>
      </x:c>
      <x:c r="H7" s="4" t="str"/>
      <x:c r="I7" s="4" t="str"/>
      <x:c r="J7" s="4" t="str"/>
      <x:c r="K7" s="4" t="str">
        <x:v>Current public profile-level metadata; SocialAuditor returned server error.</x:v>
      </x:c>
    </x:row>
  </x:sheetData>
  <x:pageMargins left="0.7" right="0.7" top="0.75" bottom="0.75" header="0.3" footer="0.3"/>
</x:worksheet>
</file>

<file path=xl/worksheets/sheet14.xml><?xml version="1.0" encoding="utf-8"?>
<x:worksheet xmlns:x="http://schemas.openxmlformats.org/spreadsheetml/2006/main">
  <x:sheetFormatPr defaultRowHeight="15"/>
  <x:sheetData>
    <x:row r="1">
      <x:c r="A1" s="3" t="str">
        <x:v>Brand</x:v>
      </x:c>
      <x:c r="B1" s="3" t="str">
        <x:v>Source</x:v>
      </x:c>
      <x:c r="C1" s="3" t="str">
        <x:v>Observed Tags / Series</x:v>
      </x:c>
      <x:c r="D1" s="3" t="str">
        <x:v>Interpretation</x:v>
      </x:c>
      <x:c r="E1" s="3" t="str">
        <x:v>Manual Follow-up</x:v>
      </x:c>
    </x:row>
    <x:row r="2">
      <x:c r="A2" s="4" t="str">
        <x:v>Slowood</x:v>
      </x:c>
      <x:c r="B2" s="4" t="str">
        <x:v>SocialAuditor</x:v>
      </x:c>
      <x:c r="C2" s="4" t="str">
        <x:v>#slowood; #somewhereslow; #consciousliving; #naturalremedies; #veganhk; #zerowastehk; #furoshiki; #hkvegan</x:v>
      </x:c>
      <x:c r="D2" s="4" t="str">
        <x:v>Historical tags indicate sustainability/lifestyle/vegan themes, but not necessarily a current systematic UGC mechanism.</x:v>
      </x:c>
      <x:c r="E2" s="4" t="str">
        <x:v>Check current IG captions for recurring branded series and UGC hashtag usage.</x:v>
      </x:c>
    </x:row>
    <x:row r="3">
      <x:c r="A3" s="4" t="str">
        <x:v>Live Zero</x:v>
      </x:c>
      <x:c r="B3" s="4" t="str">
        <x:v>SocialAuditor</x:v>
      </x:c>
      <x:c r="C3" s="4" t="str">
        <x:v>#giftexpirences; #smallsteps; #zerowaste</x:v>
      </x:c>
      <x:c r="D3" s="4" t="str">
        <x:v>Direct competitor uses a clearer small-steps / zero-waste language signal.</x:v>
      </x:c>
      <x:c r="E3" s="4" t="str">
        <x:v>Compare if Slowood's 'Take a tiny step forward' is visible in actual posts.</x:v>
      </x:c>
    </x:row>
    <x:row r="4">
      <x:c r="A4" s="4" t="str">
        <x:v>Green Common</x:v>
      </x:c>
      <x:c r="B4" s="4" t="str">
        <x:v>SocialAuditor</x:v>
      </x:c>
      <x:c r="C4" s="4" t="str">
        <x:v>#greencommon; #veganrecipes; #omnipork; #plantbased recipes-related tags</x:v>
      </x:c>
      <x:c r="D4" s="4" t="str">
        <x:v>Benchmark uses recipe and product-use tags, supporting use-case-first content.</x:v>
      </x:c>
      <x:c r="E4" s="4" t="str">
        <x:v>Slowood can adapt this by building refill/pantry/use-case tags instead of generic eco tags.</x:v>
      </x:c>
    </x:row>
  </x:sheetData>
  <x:pageMargins left="0.7" right="0.7" top="0.75" bottom="0.75" header="0.3" footer="0.3"/>
</x:worksheet>
</file>

<file path=xl/worksheets/sheet15.xml><?xml version="1.0" encoding="utf-8"?>
<x:worksheet xmlns:x="http://schemas.openxmlformats.org/spreadsheetml/2006/main">
  <x:sheetFormatPr defaultRowHeight="15"/>
  <x:sheetData>
    <x:row r="1">
      <x:c r="A1" s="3" t="str">
        <x:v>Requirement</x:v>
      </x:c>
      <x:c r="B1" s="3" t="str">
        <x:v>Account / Keyword</x:v>
      </x:c>
      <x:c r="C1" s="3" t="str">
        <x:v>Needed Evidence</x:v>
      </x:c>
      <x:c r="D1" s="3" t="str">
        <x:v>Current Status</x:v>
      </x:c>
      <x:c r="E1" s="3" t="str">
        <x:v>What Was Found / Blocked</x:v>
      </x:c>
      <x:c r="F1" s="3" t="str">
        <x:v>Next Capture Action</x:v>
      </x:c>
      <x:c r="G1" s="3" t="str">
        <x:v>Priority</x:v>
      </x:c>
    </x:row>
    <x:row r="2">
      <x:c r="A2" s="4" t="str">
        <x:v>Slowood official Instagram recent posts</x:v>
      </x:c>
      <x:c r="B2" s="4" t="str">
        <x:v>@slowood.hk</x:v>
      </x:c>
      <x:c r="C2" s="4" t="str">
        <x:v>Need latest 15-20 posts from last 3-6 months with date, format, likes, comments, hashtags, comment themes.</x:v>
      </x:c>
      <x:c r="D2" s="4" t="str">
        <x:v>Captured</x:v>
      </x:c>
      <x:c r="E2" s="4" t="str">
        <x:v>Logged-in Chrome audit captured 15 recent posts from April 16 to June 24, 2025, including URLs, dates, caption hooks, content types, format cues, likes, comments and hashtags. One like count was not reliably exposed.</x:v>
      </x:c>
      <x:c r="F2" s="4" t="str">
        <x:v>Use this sample for Slowood diagnosis; optionally extend backwards if a 6-month window is required.</x:v>
      </x:c>
      <x:c r="G2" s="4" t="str">
        <x:v>High</x:v>
      </x:c>
    </x:row>
    <x:row r="3">
      <x:c r="A3" s="4" t="str">
        <x:v>Slowood Instagram Stories Highlights</x:v>
      </x:c>
      <x:c r="B3" s="4" t="str">
        <x:v>@slowood.hk</x:v>
      </x:c>
      <x:c r="C3" s="4" t="str">
        <x:v>Need visible highlight names and classification: product catalog, store info, refill, UGC, press, events, promotion.</x:v>
      </x:c>
      <x:c r="D3" s="4" t="str">
        <x:v>Captured</x:v>
      </x:c>
      <x:c r="E3" s="4" t="str">
        <x:v>Visible highlights captured: Locations, Slo-news, Snacking, Pop Ups, Refill. Previews suggest store info/news/product/refill focus and no obvious UGC highlight.</x:v>
      </x:c>
      <x:c r="F3" s="4" t="str">
        <x:v>Open each highlight only if slide-level examples are needed for final visuals.</x:v>
      </x:c>
      <x:c r="G3" s="4" t="str">
        <x:v>High</x:v>
      </x:c>
    </x:row>
    <x:row r="4">
      <x:c r="A4" s="4" t="str">
        <x:v>Slowood Instagram comments</x:v>
      </x:c>
      <x:c r="B4" s="4" t="str">
        <x:v>@slowood.hk</x:v>
      </x:c>
      <x:c r="C4" s="4" t="str">
        <x:v>Need comment themes from recent posts: product questions, price, store location, praise, tag friends, complaint.</x:v>
      </x:c>
      <x:c r="D4" s="4" t="str">
        <x:v>Mostly captured</x:v>
      </x:c>
      <x:c r="E4" s="4" t="str">
        <x:v>Visible recent sample shows mostly zero comments / no comments yet. This supports the low-conversation-depth diagnosis, with the caveat that hidden/loaded comments may vary.</x:v>
      </x:c>
      <x:c r="F4" s="4" t="str">
        <x:v>For portfolio, use as a qualitative signal; avoid overclaiming without deeper comment expansion.</x:v>
      </x:c>
      <x:c r="G4" s="4" t="str">
        <x:v>High</x:v>
      </x:c>
    </x:row>
    <x:row r="5">
      <x:c r="A5" s="4" t="str">
        <x:v>Slowood location-tagged/user Instagram posts</x:v>
      </x:c>
      <x:c r="B5" s="4" t="str">
        <x:v>Slowood locations / @slowood.hk mentions</x:v>
      </x:c>
      <x:c r="C5" s="4" t="str">
        <x:v>Need user/partner posts showing why people tag or visit Slowood.</x:v>
      </x:c>
      <x:c r="D5" s="4" t="str">
        <x:v>Partially captured</x:v>
      </x:c>
      <x:c r="E5" s="4" t="str">
        <x:v>Public indexed samples captured Lee Gardens and chi.chi.wuu mention posts, but not a full current location-tag sample.</x:v>
      </x:c>
      <x:c r="F5" s="4" t="str">
        <x:v>Use logged-in Instagram location search for Central, Kennedy Town, Causeway Bay, HKIA; add rows to IG_Tagged_Samples.</x:v>
      </x:c>
      <x:c r="G5" s="4" t="str">
        <x:v>Medium</x:v>
      </x:c>
    </x:row>
    <x:row r="6">
      <x:c r="A6" s="4" t="str">
        <x:v>Slowood Xiaohongshu raw notes</x:v>
      </x:c>
      <x:c r="B6" s="4" t="str">
        <x:v>Slowood / Slowood香港 / 香港环保购物 / 香港裸买 / 香港慢生活</x:v>
      </x:c>
      <x:c r="C6" s="4" t="str">
        <x:v>Need titles, covers, likes/saves/comments and photo subjects from at least 10 raw notes.</x:v>
      </x:c>
      <x:c r="D6" s="4" t="str">
        <x:v>Captured</x:v>
      </x:c>
      <x:c r="E6" s="4" t="str">
        <x:v>Logged-in Xiaohongshu search captured 15 raw note samples from Slowood search. Visible hooks include must-buy list, treasure shop, fragrance roller, incense recommendation, Central Market product trial, airport store, souvenir, and negative/avoid-list reviews. Comment counts were not reliably exposed in search results.</x:v>
      </x:c>
      <x:c r="F6" s="4" t="str">
        <x:v>Use sample for XHS search/discovery insight; optionally open individual notes for deeper comment themes or screenshots.</x:v>
      </x:c>
      <x:c r="G6" s="4" t="str">
        <x:v>High</x:v>
      </x:c>
    </x:row>
    <x:row r="7">
      <x:c r="A7" s="4" t="str">
        <x:v>Live Zero official Instagram recent posts</x:v>
      </x:c>
      <x:c r="B7" s="4" t="str">
        <x:v>@livezero.hk</x:v>
      </x:c>
      <x:c r="C7" s="4" t="str">
        <x:v>Need latest 10-15 posts with likes, comments, content type, format, best 3 posts and UGC mechanism.</x:v>
      </x:c>
      <x:c r="D7" s="4" t="str">
        <x:v>Captured</x:v>
      </x:c>
      <x:c r="E7" s="4" t="str">
        <x:v>Logged-in Chrome audit captured 10 recent non-pinned posts from March 14 to May 23, 2026. The sample includes URLs, dates, content type, format, caption hooks, comments and visible likes. Some Reel / post interaction fields were not reliably exposed.</x:v>
      </x:c>
      <x:c r="F7" s="4" t="str">
        <x:v>Use sample for current competitor benchmark; optionally expand to 15 posts if needed.</x:v>
      </x:c>
      <x:c r="G7" s="4" t="str">
        <x:v>High</x:v>
      </x:c>
    </x:row>
    <x:row r="8">
      <x:c r="A8" s="4" t="str">
        <x:v>The Bulkshoppers official Instagram recent posts</x:v>
      </x:c>
      <x:c r="B8" s="4" t="str">
        <x:v>@thebulkshoppers</x:v>
      </x:c>
      <x:c r="C8" s="4" t="str">
        <x:v>Need latest 10-15 posts with content types and interaction levels.</x:v>
      </x:c>
      <x:c r="D8" s="4" t="str">
        <x:v>Captured</x:v>
      </x:c>
      <x:c r="E8" s="4" t="str">
        <x:v>Logged-in Chrome audit captured 10 recent non-pinned posts from May 19 to June 5, 2026. The sample is highly operational: vegetable orders, pickup logistics, product groups and store schedule updates. Many like counts were not reliably exposed.</x:v>
      </x:c>
      <x:c r="F8" s="4" t="str">
        <x:v>Use sample mainly for content-type and operating model benchmark; treat average likes with caveat.</x:v>
      </x:c>
      <x:c r="G8" s="4" t="str">
        <x:v>Medium</x:v>
      </x:c>
    </x:row>
    <x:row r="9">
      <x:c r="A9" s="4" t="str">
        <x:v>Green Common indexed benchmark posts</x:v>
      </x:c>
      <x:c r="B9" s="4" t="str">
        <x:v>@green_common</x:v>
      </x:c>
      <x:c r="C9" s="4" t="str">
        <x:v>Need benchmark post patterns and best-performing examples.</x:v>
      </x:c>
      <x:c r="D9" s="4" t="str">
        <x:v>Captured as historical benchmark</x:v>
      </x:c>
      <x:c r="E9" s="4" t="str">
        <x:v>SocialAuditor public search index exposed 12 historical posts with dates, captions, likes and comments.</x:v>
      </x:c>
      <x:c r="F9" s="4" t="str">
        <x:v>Use as content-structure benchmark only; still capture current posts if final case needs current comparison.</x:v>
      </x:c>
      <x:c r="G9" s="4" t="str">
        <x:v>Medium</x:v>
      </x:c>
    </x:row>
    <x:row r="10">
      <x:c r="A10" s="4" t="str">
        <x:v>Google Maps / OpenRice review keywords</x:v>
      </x:c>
      <x:c r="B10" s="4" t="str">
        <x:v>Slowood physical stores</x:v>
      </x:c>
      <x:c r="C10" s="4" t="str">
        <x:v>Need environment, idea, price, product and service keyword themes.</x:v>
      </x:c>
      <x:c r="D10" s="4" t="str">
        <x:v>Mostly captured via aggregators</x:v>
      </x:c>
      <x:c r="E10" s="4" t="str">
        <x:v>Wanderlog and Corner expose Google review aggregate and selected review signals; OpenRice is less suitable for retail-only Slowood.</x:v>
      </x:c>
      <x:c r="F10" s="4" t="str">
        <x:v>Optional: manually open Google Maps reviews per branch for keyword counts.</x:v>
      </x:c>
      <x:c r="G10" s="4" t="str">
        <x:v>Medium</x:v>
      </x:c>
    </x:row>
    <x:row r="11">
      <x:c r="A11" s="4" t="str">
        <x:v>Bio link and traffic handoff</x:v>
      </x:c>
      <x:c r="B11" s="4" t="str">
        <x:v>Slowood Linktree / competitor link hubs</x:v>
      </x:c>
      <x:c r="C11" s="4" t="str">
        <x:v>Need whether bio routes to homepage or campaign-specific page.</x:v>
      </x:c>
      <x:c r="D11" s="4" t="str">
        <x:v>Partially captured</x:v>
      </x:c>
      <x:c r="E11" s="4" t="str">
        <x:v>Slowood Linktree and The BulkSHoppers Linktree metadata captured; dynamic links may require direct browser review.</x:v>
      </x:c>
      <x:c r="F11" s="4" t="str">
        <x:v>When final campaign concept is chosen, audit whether Linktree can route to campaign landing/category page.</x:v>
      </x:c>
      <x:c r="G11" s="4" t="str">
        <x:v>Medium</x:v>
      </x:c>
    </x:row>
  </x:sheetData>
  <x:pageMargins left="0.7" right="0.7" top="0.75" bottom="0.75" header="0.3" footer="0.3"/>
</x:worksheet>
</file>

<file path=xl/worksheets/sheet16.xml><?xml version="1.0" encoding="utf-8"?>
<x:worksheet xmlns:x="http://schemas.openxmlformats.org/spreadsheetml/2006/main">
  <x:sheetFormatPr defaultRowHeight="15"/>
  <x:sheetData>
    <x:row r="1">
      <x:c r="A1" s="3" t="str">
        <x:v>Account / Movement</x:v>
      </x:c>
      <x:c r="B1" s="3" t="str">
        <x:v>Role</x:v>
      </x:c>
      <x:c r="C1" s="3" t="str">
        <x:v>Observed Mechanism</x:v>
      </x:c>
      <x:c r="D1" s="3" t="str">
        <x:v>Content Lesson</x:v>
      </x:c>
      <x:c r="E1" s="3" t="str">
        <x:v>Slowood Application</x:v>
      </x:c>
    </x:row>
    <x:row r="2">
      <x:c r="A2" s="4" t="str">
        <x:v>Green Is The New Black</x:v>
      </x:c>
      <x:c r="B2" s="4" t="str">
        <x:v>Instagram / movement account</x:v>
      </x:c>
      <x:c r="C2" s="4" t="str">
        <x:v>Tatler guide cites hashtag #littlegreensteps.</x:v>
      </x:c>
      <x:c r="D2" s="4" t="str">
        <x:v>Small-step hashtag mechanics can invite low-pressure participation.</x:v>
      </x:c>
      <x:c r="E2" s="4" t="str">
        <x:v>Use #MySlowoodTinyStep or a Chinese/Cantonese equivalent to collect user actions.</x:v>
      </x:c>
    </x:row>
    <x:row r="3">
      <x:c r="A3" s="4" t="str">
        <x:v>Zero Waste Life HK</x:v>
      </x:c>
      <x:c r="B3" s="4" t="str">
        <x:v>Instagram / community education</x:v>
      </x:c>
      <x:c r="C3" s="4" t="str">
        <x:v>Tatler guide describes personal trials, DIY workshops and plastic-free idea sharing.</x:v>
      </x:c>
      <x:c r="D3" s="4" t="str">
        <x:v>Workshops and how-to content can convert values into participation.</x:v>
      </x:c>
      <x:c r="E3" s="4" t="str">
        <x:v>Pair refill tutorials with mini workshops and recap posts.</x:v>
      </x:c>
    </x:row>
    <x:row r="4">
      <x:c r="A4" s="4" t="str">
        <x:v>The Green 52</x:v>
      </x:c>
      <x:c r="B4" s="4" t="str">
        <x:v>Instagram / weekly tip format</x:v>
      </x:c>
      <x:c r="C4" s="4" t="str">
        <x:v>Tatler guide frames it around simple weekly lifestyle tips.</x:v>
      </x:c>
      <x:c r="D4" s="4" t="str">
        <x:v>A predictable weekly cadence makes sustainable living easier to follow.</x:v>
      </x:c>
      <x:c r="E4" s="4" t="str">
        <x:v>Create a weekly Slowood Tiny Step with repeatable cover and checklist.</x:v>
      </x:c>
    </x:row>
    <x:row r="5">
      <x:c r="A5" s="4" t="str">
        <x:v>Bye Bye Plastic Bags</x:v>
      </x:c>
      <x:c r="B5" s="4" t="str">
        <x:v>Instagram / youth movement</x:v>
      </x:c>
      <x:c r="C5" s="4" t="str">
        <x:v>Tatler guide mentions petition/action challenges and #TolakSekaliPakai.</x:v>
      </x:c>
      <x:c r="D5" s="4" t="str">
        <x:v>Action-oriented hashtags can turn awareness into visible participation.</x:v>
      </x:c>
      <x:c r="E5" s="4" t="str">
        <x:v>Use challenge mechanics for refill month or BYO container week.</x:v>
      </x:c>
    </x:row>
    <x:row r="6">
      <x:c r="A6" s="4" t="str">
        <x:v>Live Zero</x:v>
      </x:c>
      <x:c r="B6" s="4" t="str">
        <x:v>Direct competitor</x:v>
      </x:c>
      <x:c r="C6" s="4" t="str">
        <x:v>Historical hashtag signal includes #smallsteps and #zerowaste.</x:v>
      </x:c>
      <x:c r="D6" s="4" t="str">
        <x:v>Direct competitor already uses small-step/zero-waste language.</x:v>
      </x:c>
      <x:c r="E6" s="4" t="str">
        <x:v>Slowood should differentiate by combining tiny steps with richer lifestyle/store assets.</x:v>
      </x:c>
    </x:row>
  </x:sheetData>
  <x:pageMargins left="0.7" right="0.7" top="0.75" bottom="0.75" header="0.3" footer="0.3"/>
</x:worksheet>
</file>

<file path=xl/worksheets/sheet17.xml><?xml version="1.0" encoding="utf-8"?>
<x:worksheet xmlns:x="http://schemas.openxmlformats.org/spreadsheetml/2006/main">
  <x:sheetFormatPr defaultRowHeight="15"/>
  <x:sheetData>
    <x:row r="1">
      <x:c r="A1" s="3" t="str">
        <x:v>Brand</x:v>
      </x:c>
      <x:c r="B1" s="3" t="str">
        <x:v>Platform</x:v>
      </x:c>
      <x:c r="C1" s="3" t="str">
        <x:v>Date</x:v>
      </x:c>
      <x:c r="D1" s="3" t="str">
        <x:v>Post Theme</x:v>
      </x:c>
      <x:c r="E1" s="3" t="str">
        <x:v>Caption / Hook Summary</x:v>
      </x:c>
      <x:c r="F1" s="3" t="str">
        <x:v>Format</x:v>
      </x:c>
      <x:c r="G1" s="3" t="str">
        <x:v>Likes</x:v>
      </x:c>
      <x:c r="H1" s="3" t="str">
        <x:v>Comments</x:v>
      </x:c>
      <x:c r="I1" s="3" t="str">
        <x:v>Content Type</x:v>
      </x:c>
      <x:c r="J1" s="3" t="str">
        <x:v>Performance Note</x:v>
      </x:c>
      <x:c r="K1" s="3" t="str">
        <x:v>Source</x:v>
      </x:c>
    </x:row>
    <x:row r="2">
      <x:c r="A2" s="4" t="str">
        <x:v>Green Common</x:v>
      </x:c>
      <x:c r="B2" s="4" t="str">
        <x:v>Instagram</x:v>
      </x:c>
      <x:c r="C2" s="4" t="str">
        <x:v>2022-03-14</x:v>
      </x:c>
      <x:c r="D2" s="4" t="str">
        <x:v>Recipe replay / live</x:v>
      </x:c>
      <x:c r="E2" s="4" t="str">
        <x:v>Learn plant-based Yunnan rice noodle in 20 mins; replay prompt; recipe tags</x:v>
      </x:c>
      <x:c r="F2" s="4" t="str">
        <x:v>Video / live replay</x:v>
      </x:c>
      <x:c r="G2" s="4" t="str">
        <x:v>10</x:v>
      </x:c>
      <x:c r="H2" s="4" t="str">
        <x:v>0</x:v>
      </x:c>
      <x:c r="I2" s="4" t="str">
        <x:v>Use-case education</x:v>
      </x:c>
      <x:c r="J2" s="4" t="str">
        <x:v>Low</x:v>
      </x:c>
      <x:c r="K2" s="4" t="str">
        <x:v>SocialAuditor indexed result</x:v>
      </x:c>
    </x:row>
    <x:row r="3">
      <x:c r="A3" s="4" t="str">
        <x:v>Green Common</x:v>
      </x:c>
      <x:c r="B3" s="4" t="str">
        <x:v>Instagram</x:v>
      </x:c>
      <x:c r="C3" s="4" t="str">
        <x:v>2022-03-13</x:v>
      </x:c>
      <x:c r="D3" s="4" t="str">
        <x:v>Live class announcement</x:v>
      </x:c>
      <x:c r="E3" s="4" t="str">
        <x:v>新煮意教室 Yunnan rice noodle live with @yumthefuture</x:v>
      </x:c>
      <x:c r="F3" s="4" t="str">
        <x:v>Live announcement</x:v>
      </x:c>
      <x:c r="G3" s="4" t="str">
        <x:v>46</x:v>
      </x:c>
      <x:c r="H3" s="4" t="str">
        <x:v>0</x:v>
      </x:c>
      <x:c r="I3" s="4" t="str">
        <x:v>Event / education</x:v>
      </x:c>
      <x:c r="J3" s="4" t="str">
        <x:v>Low</x:v>
      </x:c>
      <x:c r="K3" s="4" t="str">
        <x:v>SocialAuditor indexed result</x:v>
      </x:c>
    </x:row>
    <x:row r="4">
      <x:c r="A4" s="4" t="str">
        <x:v>Green Common</x:v>
      </x:c>
      <x:c r="B4" s="4" t="str">
        <x:v>Instagram</x:v>
      </x:c>
      <x:c r="C4" s="4" t="str">
        <x:v>2022-03-12</x:v>
      </x:c>
      <x:c r="D4" s="4" t="str">
        <x:v>Beginner cooking / family meal</x:v>
      </x:c>
      <x:c r="E4" s="4" t="str">
        <x:v>7-day meal plan, easy recipes, influencer recipes</x:v>
      </x:c>
      <x:c r="F4" s="4" t="str">
        <x:v>Carousel or static unknown</x:v>
      </x:c>
      <x:c r="G4" s="4" t="str">
        <x:v>78</x:v>
      </x:c>
      <x:c r="H4" s="4" t="str">
        <x:v>0</x:v>
      </x:c>
      <x:c r="I4" s="4" t="str">
        <x:v>Education / recipe</x:v>
      </x:c>
      <x:c r="J4" s="4" t="str">
        <x:v>Medium</x:v>
      </x:c>
      <x:c r="K4" s="4" t="str">
        <x:v>SocialAuditor indexed result</x:v>
      </x:c>
    </x:row>
    <x:row r="5">
      <x:c r="A5" s="4" t="str">
        <x:v>Green Common</x:v>
      </x:c>
      <x:c r="B5" s="4" t="str">
        <x:v>Instagram</x:v>
      </x:c>
      <x:c r="C5" s="4" t="str">
        <x:v>2022-03-11</x:v>
      </x:c>
      <x:c r="D5" s="4" t="str">
        <x:v>Recipe creator post</x:v>
      </x:c>
      <x:c r="E5" s="4" t="str">
        <x:v>Healthier cha chaan teng rice noodle recipe with plant-based meat</x:v>
      </x:c>
      <x:c r="F5" s="4" t="str">
        <x:v>Recipe / UGC</x:v>
      </x:c>
      <x:c r="G5" s="4" t="str">
        <x:v>53</x:v>
      </x:c>
      <x:c r="H5" s="4" t="str">
        <x:v>0</x:v>
      </x:c>
      <x:c r="I5" s="4" t="str">
        <x:v>Influencer recipe / UGC</x:v>
      </x:c>
      <x:c r="J5" s="4" t="str">
        <x:v>Medium</x:v>
      </x:c>
      <x:c r="K5" s="4" t="str">
        <x:v>SocialAuditor indexed result</x:v>
      </x:c>
    </x:row>
    <x:row r="6">
      <x:c r="A6" s="4" t="str">
        <x:v>Green Common</x:v>
      </x:c>
      <x:c r="B6" s="4" t="str">
        <x:v>Instagram</x:v>
      </x:c>
      <x:c r="C6" s="4" t="str">
        <x:v>2022-03-10</x:v>
      </x:c>
      <x:c r="D6" s="4" t="str">
        <x:v>Vegan recipe</x:v>
      </x:c>
      <x:c r="E6" s="4" t="str">
        <x:v>Mapo tofu recipe shared by @mrswongskitchen</x:v>
      </x:c>
      <x:c r="F6" s="4" t="str">
        <x:v>Recipe / UGC</x:v>
      </x:c>
      <x:c r="G6" s="4" t="str">
        <x:v>319</x:v>
      </x:c>
      <x:c r="H6" s="4" t="str">
        <x:v>2</x:v>
      </x:c>
      <x:c r="I6" s="4" t="str">
        <x:v>Influencer recipe / UGC</x:v>
      </x:c>
      <x:c r="J6" s="4" t="str">
        <x:v>High</x:v>
      </x:c>
      <x:c r="K6" s="4" t="str">
        <x:v>SocialAuditor indexed result</x:v>
      </x:c>
    </x:row>
    <x:row r="7">
      <x:c r="A7" s="4" t="str">
        <x:v>Green Common</x:v>
      </x:c>
      <x:c r="B7" s="4" t="str">
        <x:v>Instagram</x:v>
      </x:c>
      <x:c r="C7" s="4" t="str">
        <x:v>2022-03-09</x:v>
      </x:c>
      <x:c r="D7" s="4" t="str">
        <x:v>Dining voucher / hotpot</x:v>
      </x:c>
      <x:c r="E7" s="4" t="str">
        <x:v>Five new shabu shabu soup bases; e-voucher plus HKD30 eShop coupon</x:v>
      </x:c>
      <x:c r="F7" s="4" t="str">
        <x:v>Promo / dining</x:v>
      </x:c>
      <x:c r="G7" s="4" t="str">
        <x:v>488</x:v>
      </x:c>
      <x:c r="H7" s="4" t="str">
        <x:v>13</x:v>
      </x:c>
      <x:c r="I7" s="4" t="str">
        <x:v>Promotion + food use case</x:v>
      </x:c>
      <x:c r="J7" s="4" t="str">
        <x:v>Highest in sample</x:v>
      </x:c>
      <x:c r="K7" s="4" t="str">
        <x:v>SocialAuditor indexed result</x:v>
      </x:c>
    </x:row>
    <x:row r="8">
      <x:c r="A8" s="4" t="str">
        <x:v>Green Common</x:v>
      </x:c>
      <x:c r="B8" s="4" t="str">
        <x:v>Instagram</x:v>
      </x:c>
      <x:c r="C8" s="4" t="str">
        <x:v>2022-03-08</x:v>
      </x:c>
      <x:c r="D8" s="4" t="str">
        <x:v>Women's Day values</x:v>
      </x:c>
      <x:c r="E8" s="4" t="str">
        <x:v>Equality and plant-based values tied to International Women's Day</x:v>
      </x:c>
      <x:c r="F8" s="4" t="str">
        <x:v>Text/values post</x:v>
      </x:c>
      <x:c r="G8" s="4" t="str">
        <x:v>49</x:v>
      </x:c>
      <x:c r="H8" s="4" t="str">
        <x:v>0</x:v>
      </x:c>
      <x:c r="I8" s="4" t="str">
        <x:v>Values / education</x:v>
      </x:c>
      <x:c r="J8" s="4" t="str">
        <x:v>Low</x:v>
      </x:c>
      <x:c r="K8" s="4" t="str">
        <x:v>SocialAuditor indexed result</x:v>
      </x:c>
    </x:row>
    <x:row r="9">
      <x:c r="A9" s="4" t="str">
        <x:v>Green Common</x:v>
      </x:c>
      <x:c r="B9" s="4" t="str">
        <x:v>Instagram</x:v>
      </x:c>
      <x:c r="C9" s="4" t="str">
        <x:v>2022-03-07</x:v>
      </x:c>
      <x:c r="D9" s="4" t="str">
        <x:v>Plant-based chicken product</x:v>
      </x:c>
      <x:c r="E9" s="4" t="str">
        <x:v>Heura plant-based chicken deal; easy-to-cook sustainable nutrition</x:v>
      </x:c>
      <x:c r="F9" s="4" t="str">
        <x:v>Product / promo</x:v>
      </x:c>
      <x:c r="G9" s="4" t="str">
        <x:v>58</x:v>
      </x:c>
      <x:c r="H9" s="4" t="str">
        <x:v>0</x:v>
      </x:c>
      <x:c r="I9" s="4" t="str">
        <x:v>Product use case</x:v>
      </x:c>
      <x:c r="J9" s="4" t="str">
        <x:v>Low</x:v>
      </x:c>
      <x:c r="K9" s="4" t="str">
        <x:v>SocialAuditor indexed result</x:v>
      </x:c>
    </x:row>
    <x:row r="10">
      <x:c r="A10" s="4" t="str">
        <x:v>Green Common</x:v>
      </x:c>
      <x:c r="B10" s="4" t="str">
        <x:v>Instagram</x:v>
      </x:c>
      <x:c r="C10" s="4" t="str">
        <x:v>2022-03-06</x:v>
      </x:c>
      <x:c r="D10" s="4" t="str">
        <x:v>Asian street food recipes</x:v>
      </x:c>
      <x:c r="E10" s="4" t="str">
        <x:v>Healthy plant-based Asian cooking; 7-day meal plan and delivery</x:v>
      </x:c>
      <x:c r="F10" s="4" t="str">
        <x:v>Recipe / campaign</x:v>
      </x:c>
      <x:c r="G10" s="4" t="str">
        <x:v>110</x:v>
      </x:c>
      <x:c r="H10" s="4" t="str">
        <x:v>3</x:v>
      </x:c>
      <x:c r="I10" s="4" t="str">
        <x:v>Recipe + convenience</x:v>
      </x:c>
      <x:c r="J10" s="4" t="str">
        <x:v>Medium</x:v>
      </x:c>
      <x:c r="K10" s="4" t="str">
        <x:v>SocialAuditor indexed result</x:v>
      </x:c>
    </x:row>
    <x:row r="11">
      <x:c r="A11" s="4" t="str">
        <x:v>Green Common</x:v>
      </x:c>
      <x:c r="B11" s="4" t="str">
        <x:v>Instagram</x:v>
      </x:c>
      <x:c r="C11" s="4" t="str">
        <x:v>2022-03-05</x:v>
      </x:c>
      <x:c r="D11" s="4" t="str">
        <x:v>At-home dim sum</x:v>
      </x:c>
      <x:c r="E11" s="4" t="str">
        <x:v>OmniEat dim sum at home; traditional flavors in plant-based format</x:v>
      </x:c>
      <x:c r="F11" s="4" t="str">
        <x:v>Product use case</x:v>
      </x:c>
      <x:c r="G11" s="4" t="str">
        <x:v>88</x:v>
      </x:c>
      <x:c r="H11" s="4" t="str">
        <x:v>2</x:v>
      </x:c>
      <x:c r="I11" s="4" t="str">
        <x:v>Product use case</x:v>
      </x:c>
      <x:c r="J11" s="4" t="str">
        <x:v>Medium</x:v>
      </x:c>
      <x:c r="K11" s="4" t="str">
        <x:v>SocialAuditor indexed result</x:v>
      </x:c>
    </x:row>
    <x:row r="12">
      <x:c r="A12" s="4" t="str">
        <x:v>Green Common</x:v>
      </x:c>
      <x:c r="B12" s="4" t="str">
        <x:v>Instagram</x:v>
      </x:c>
      <x:c r="C12" s="4" t="str">
        <x:v>2022-03-04</x:v>
      </x:c>
      <x:c r="D12" s="4" t="str">
        <x:v>Ready meal packs</x:v>
      </x:c>
      <x:c r="E12" s="4" t="str">
        <x:v>Instant plant-based meal packs for busy nearby dwellers</x:v>
      </x:c>
      <x:c r="F12" s="4" t="str">
        <x:v>Product / convenience</x:v>
      </x:c>
      <x:c r="G12" s="4" t="str">
        <x:v>185</x:v>
      </x:c>
      <x:c r="H12" s="4" t="str">
        <x:v>3</x:v>
      </x:c>
      <x:c r="I12" s="4" t="str">
        <x:v>Convenience / product use</x:v>
      </x:c>
      <x:c r="J12" s="4" t="str">
        <x:v>High</x:v>
      </x:c>
      <x:c r="K12" s="4" t="str">
        <x:v>SocialAuditor indexed result</x:v>
      </x:c>
    </x:row>
    <x:row r="13">
      <x:c r="A13" s="4" t="str">
        <x:v>Green Common</x:v>
      </x:c>
      <x:c r="B13" s="4" t="str">
        <x:v>Instagram</x:v>
      </x:c>
      <x:c r="C13" s="4" t="str">
        <x:v>2022-03-03</x:v>
      </x:c>
      <x:c r="D13" s="4" t="str">
        <x:v>Recipe live replay</x:v>
      </x:c>
      <x:c r="E13" s="4" t="str">
        <x:v>OmniPork stuffed pepper in 30 mins; live replay prompt</x:v>
      </x:c>
      <x:c r="F13" s="4" t="str">
        <x:v>Video / recipe</x:v>
      </x:c>
      <x:c r="G13" s="4" t="str">
        <x:v>44</x:v>
      </x:c>
      <x:c r="H13" s="4" t="str">
        <x:v>0</x:v>
      </x:c>
      <x:c r="I13" s="4" t="str">
        <x:v>Recipe education</x:v>
      </x:c>
      <x:c r="J13" s="4" t="str">
        <x:v>Low</x:v>
      </x:c>
      <x:c r="K13" s="4" t="str">
        <x:v>SocialAuditor indexed result</x:v>
      </x:c>
    </x:row>
  </x:sheetData>
  <x:pageMargins left="0.7" right="0.7" top="0.75" bottom="0.75" header="0.3" footer="0.3"/>
</x:worksheet>
</file>

<file path=xl/worksheets/sheet18.xml><?xml version="1.0" encoding="utf-8"?>
<x:worksheet xmlns:x="http://schemas.openxmlformats.org/spreadsheetml/2006/main">
  <x:sheetFormatPr defaultRowHeight="15"/>
  <x:sheetData>
    <x:row r="1">
      <x:c r="A1" s="3" t="str">
        <x:v>Account</x:v>
      </x:c>
      <x:c r="B1" s="3" t="str">
        <x:v>Platform</x:v>
      </x:c>
      <x:c r="C1" s="3" t="str">
        <x:v>Date</x:v>
      </x:c>
      <x:c r="D1" s="3" t="str">
        <x:v>Mention / Location</x:v>
      </x:c>
      <x:c r="E1" s="3" t="str">
        <x:v>Observed Signal</x:v>
      </x:c>
      <x:c r="F1" s="3" t="str">
        <x:v>Post Type</x:v>
      </x:c>
      <x:c r="G1" s="3" t="str">
        <x:v>Likes</x:v>
      </x:c>
      <x:c r="H1" s="3" t="str">
        <x:v>Comments</x:v>
      </x:c>
      <x:c r="I1" s="3" t="str">
        <x:v>User / Partner Motivation</x:v>
      </x:c>
      <x:c r="J1" s="3" t="str">
        <x:v>Content Hook</x:v>
      </x:c>
      <x:c r="K1" s="3" t="str">
        <x:v>Source</x:v>
      </x:c>
    </x:row>
    <x:row r="2">
      <x:c r="A2" s="4" t="str">
        <x:v>Lee Gardens HK</x:v>
      </x:c>
      <x:c r="B2" s="4" t="str">
        <x:v>Instagram</x:v>
      </x:c>
      <x:c r="C2" s="4" t="str">
        <x:v>2025-08-04</x:v>
      </x:c>
      <x:c r="D2" s="4" t="str">
        <x:v>@slowood.hk / Hysan Place</x:v>
      </x:c>
      <x:c r="E2" s="4" t="str">
        <x:v>Promoted SLOWOOD sustainable scent brands 100BON, Hetkinen, SopranoLabs; SLOWOOD app members 10% off when buying 2 selected perfumes at Hysan Place.</x:v>
      </x:c>
      <x:c r="F2" s="4" t="str">
        <x:v>Shopping mall / tenant promotion</x:v>
      </x:c>
      <x:c r="G2" s="4" t="str">
        <x:v>320</x:v>
      </x:c>
      <x:c r="H2" s="4" t="str">
        <x:v>0</x:v>
      </x:c>
      <x:c r="I2" s="4" t="str">
        <x:v>Collaboration / retail traffic</x:v>
      </x:c>
      <x:c r="J2" s="4" t="str">
        <x:v>Sustainable beauty, natural scent, app-member offer</x:v>
      </x:c>
      <x:c r="K2" s="4" t="str">
        <x:v>SocialAuditor indexed result</x:v>
      </x:c>
    </x:row>
    <x:row r="3">
      <x:c r="A3" s="4" t="str">
        <x:v>chi.chi.wuu</x:v>
      </x:c>
      <x:c r="B3" s="4" t="str">
        <x:v>Instagram</x:v>
      </x:c>
      <x:c r="C3" s="4" t="str">
        <x:v>2025-07-06</x:v>
      </x:c>
      <x:c r="D3" s="4" t="str">
        <x:v>@slowood.hk / @azurlis_skincare</x:v>
      </x:c>
      <x:c r="E3" s="4" t="str">
        <x:v>Influencer-style post says passing Slowood has a comfortable fragrance, brand covers food/personal care/home, sustainable lifestyle and organic products; includes Azurlis skincare promo code.</x:v>
      </x:c>
      <x:c r="F3" s="4" t="str">
        <x:v>Influencer / affiliate-style post</x:v>
      </x:c>
      <x:c r="G3" s="4" t="str">
        <x:v>84</x:v>
      </x:c>
      <x:c r="H3" s="4" t="str">
        <x:v>0</x:v>
      </x:c>
      <x:c r="I3" s="4" t="str">
        <x:v>Influencer content / product education</x:v>
      </x:c>
      <x:c r="J3" s="4" t="str">
        <x:v>Natural skincare, sustainable lifestyle, personal endorsement</x:v>
      </x:c>
      <x:c r="K3" s="4" t="str">
        <x:v>SocialAuditor indexed result</x:v>
      </x:c>
    </x:row>
  </x:sheetData>
  <x:pageMargins left="0.7" right="0.7" top="0.75" bottom="0.75" header="0.3" footer="0.3"/>
</x:worksheet>
</file>

<file path=xl/worksheets/sheet19.xml><?xml version="1.0" encoding="utf-8"?>
<x:worksheet xmlns:x="http://schemas.openxmlformats.org/spreadsheetml/2006/main">
  <x:sheetFormatPr defaultRowHeight="15"/>
  <x:sheetData>
    <x:row r="1">
      <x:c r="A1" s="3" t="str">
        <x:v>Highlight Name</x:v>
      </x:c>
      <x:c r="B1" s="3" t="str">
        <x:v>Age Shown</x:v>
      </x:c>
      <x:c r="C1" s="3" t="str">
        <x:v>Content Focus</x:v>
      </x:c>
      <x:c r="D1" s="3" t="str">
        <x:v>Observed Signal</x:v>
      </x:c>
      <x:c r="E1" s="3" t="str">
        <x:v>Operational Meaning</x:v>
      </x:c>
      <x:c r="F1" s="3" t="str">
        <x:v>UGC Evidence</x:v>
      </x:c>
      <x:c r="G1" s="3" t="str">
        <x:v>Source</x:v>
      </x:c>
    </x:row>
    <x:row r="2">
      <x:c r="A2" s="4" t="str">
        <x:v>Locations</x:v>
      </x:c>
      <x:c r="B2" s="4" t="str">
        <x:v>110w</x:v>
      </x:c>
      <x:c r="C2" s="4" t="str">
        <x:v>Store information / format explainer</x:v>
      </x:c>
      <x:c r="D2" s="4" t="str">
        <x:v>Explains difference between Slowood, Slowood Market and Slowood Pop-up.</x:v>
      </x:c>
      <x:c r="E2" s="4" t="str">
        <x:v>Store education and traffic routing</x:v>
      </x:c>
      <x:c r="F2" s="4" t="str">
        <x:v>No visible UGC in screenshot</x:v>
      </x:c>
      <x:c r="G2" s="4" t="str">
        <x:v>Logged-in user screenshot</x:v>
      </x:c>
    </x:row>
    <x:row r="3">
      <x:c r="A3" s="4" t="str">
        <x:v>Slo-news</x:v>
      </x:c>
      <x:c r="B3" s="4" t="str">
        <x:v>115w</x:v>
      </x:c>
      <x:c r="C3" s="4" t="str">
        <x:v>News / education</x:v>
      </x:c>
      <x:c r="D3" s="4" t="str">
        <x:v>EU Parliament green product claims news story; link to full story.</x:v>
      </x:c>
      <x:c r="E3" s="4" t="str">
        <x:v>Brand values and sustainability news</x:v>
      </x:c>
      <x:c r="F3" s="4" t="str">
        <x:v>No visible UGC in screenshot</x:v>
      </x:c>
      <x:c r="G3" s="4" t="str">
        <x:v>Logged-in user screenshot</x:v>
      </x:c>
    </x:row>
    <x:row r="4">
      <x:c r="A4" s="4" t="str">
        <x:v>Snacking</x:v>
      </x:c>
      <x:c r="B4" s="4" t="str">
        <x:v>115w</x:v>
      </x:c>
      <x:c r="C4" s="4" t="str">
        <x:v>Product / service category</x:v>
      </x:c>
      <x:c r="D4" s="4" t="str">
        <x:v>Slowood Company Snacking reel with Learn More CTA.</x:v>
      </x:c>
      <x:c r="E4" s="4" t="str">
        <x:v>Product/service conversion and corporate snacking</x:v>
      </x:c>
      <x:c r="F4" s="4" t="str">
        <x:v>No visible UGC in screenshot</x:v>
      </x:c>
      <x:c r="G4" s="4" t="str">
        <x:v>Logged-in user screenshot</x:v>
      </x:c>
    </x:row>
    <x:row r="5">
      <x:c r="A5" s="4" t="str">
        <x:v>Pop Ups</x:v>
      </x:c>
      <x:c r="B5" s="4" t="str">
        <x:v>112w</x:v>
      </x:c>
      <x:c r="C5" s="4" t="str">
        <x:v>Store update / pop-up information</x:v>
      </x:c>
      <x:c r="D5" s="4" t="str">
        <x:v>Pop-up highlight preview with The Double / summer location context.</x:v>
      </x:c>
      <x:c r="E5" s="4" t="str">
        <x:v>Store and pop-up routing</x:v>
      </x:c>
      <x:c r="F5" s="4" t="str">
        <x:v>No visible UGC in screenshot</x:v>
      </x:c>
      <x:c r="G5" s="4" t="str">
        <x:v>Logged-in user screenshot</x:v>
      </x:c>
    </x:row>
    <x:row r="6">
      <x:c r="A6" s="4" t="str">
        <x:v>Refill</x:v>
      </x:c>
      <x:c r="B6" s="4" t="str">
        <x:v>241w</x:v>
      </x:c>
      <x:c r="C6" s="4" t="str">
        <x:v>Refill infrastructure / behavior</x:v>
      </x:c>
      <x:c r="D6" s="4" t="str">
        <x:v>First electronic bulk refill station in Hong Kong at Central Market visible in preview.</x:v>
      </x:c>
      <x:c r="E6" s="4" t="str">
        <x:v>Core refill behavior and sustainability proof</x:v>
      </x:c>
      <x:c r="F6" s="4" t="str">
        <x:v>No visible UGC in screenshot</x:v>
      </x:c>
      <x:c r="G6" s="4" t="str">
        <x:v>Logged-in user screenshot</x:v>
      </x:c>
    </x:row>
  </x:sheetData>
  <x:pageMargins left="0.7" right="0.7" top="0.75" bottom="0.75" header="0.3" footer="0.3"/>
</x:worksheet>
</file>

<file path=xl/worksheets/sheet20.xml><?xml version="1.0" encoding="utf-8"?>
<x:worksheet xmlns:x="http://schemas.openxmlformats.org/spreadsheetml/2006/main">
  <x:sheetFormatPr defaultRowHeight="15"/>
  <x:sheetData>
    <x:row r="1">
      <x:c r="A1" s="3" t="str">
        <x:v>Dataset</x:v>
      </x:c>
      <x:c r="B1" s="3" t="str">
        <x:v>Minimum Target</x:v>
      </x:c>
      <x:c r="C1" s="3" t="str">
        <x:v>Captured Rows</x:v>
      </x:c>
      <x:c r="D1" s="3" t="str">
        <x:v>Remaining</x:v>
      </x:c>
      <x:c r="E1" s="3" t="str">
        <x:v>Completion %</x:v>
      </x:c>
      <x:c r="F1" s="3" t="str">
        <x:v>Blocking Issue</x:v>
      </x:c>
      <x:c r="G1" s="3" t="str">
        <x:v>Next Action</x:v>
      </x:c>
    </x:row>
    <x:row r="2">
      <x:c r="A2" s="4" t="str">
        <x:v>Slowood IG posts</x:v>
      </x:c>
      <x:c r="B2" s="4" t="n">
        <x:v>15</x:v>
      </x:c>
      <x:c r="C2" s="4" t="n">
        <x:f>COUNTIF(Slowood_Content_Audit!M2:M100,"Captured")</x:f>
        <x:v>15</x:v>
      </x:c>
      <x:c r="D2" s="4" t="n">
        <x:f>MAX(B2-C2,0)</x:f>
        <x:v>0</x:v>
      </x:c>
      <x:c r="E2" s="4" t="n">
        <x:f>IFERROR(C2/B2,0)</x:f>
        <x:v>1</x:v>
      </x:c>
      <x:c r="F2" s="4" t="str">
        <x:v>Login/manual capture required.</x:v>
      </x:c>
      <x:c r="G2" s="4" t="str">
        <x:v>Fill Slowood_Content_Audit rows and mark Data Status = Captured.</x:v>
      </x:c>
    </x:row>
    <x:row r="3">
      <x:c r="A3" s="4" t="str">
        <x:v>Slowood XHS notes</x:v>
      </x:c>
      <x:c r="B3" s="4" t="n">
        <x:v>10</x:v>
      </x:c>
      <x:c r="C3" s="4" t="n">
        <x:f>COUNTIF(XHS_Note_Audit!L2:L100,"Captured")</x:f>
        <x:v>15</x:v>
      </x:c>
      <x:c r="D3" s="4" t="n">
        <x:f>MAX(B3-C3,0)</x:f>
        <x:v>0</x:v>
      </x:c>
      <x:c r="E3" s="4" t="n">
        <x:f>IFERROR(C3/B3,0)</x:f>
        <x:v>1.5</x:v>
      </x:c>
      <x:c r="F3" s="4" t="str">
        <x:v>Captured via logged-in Xiaohongshu search; comments not reliably exposed.</x:v>
      </x:c>
      <x:c r="G3" s="4" t="str">
        <x:v>Optional: open individual notes for screenshots and deeper comment themes.</x:v>
      </x:c>
    </x:row>
    <x:row r="4">
      <x:c r="A4" s="4" t="str">
        <x:v>Live Zero IG posts</x:v>
      </x:c>
      <x:c r="B4" s="4" t="n">
        <x:v>10</x:v>
      </x:c>
      <x:c r="C4" s="4" t="n">
        <x:f>COUNTIFS(Competitor_Post_Audit!A2:A100,"Live Zero",Competitor_Post_Audit!M2:M100,"Captured")</x:f>
        <x:v>10</x:v>
      </x:c>
      <x:c r="D4" s="4" t="n">
        <x:f>MAX(B4-C4,0)</x:f>
        <x:v>0</x:v>
      </x:c>
      <x:c r="E4" s="4" t="n">
        <x:f>IFERROR(C4/B4,0)</x:f>
        <x:v>1</x:v>
      </x:c>
      <x:c r="F4" s="4" t="str">
        <x:v>Login/manual capture required.</x:v>
      </x:c>
      <x:c r="G4" s="4" t="str">
        <x:v>Fill Competitor_Post_Audit for Live Zero.</x:v>
      </x:c>
    </x:row>
    <x:row r="5">
      <x:c r="A5" s="4" t="str">
        <x:v>The Bulkshoppers IG posts</x:v>
      </x:c>
      <x:c r="B5" s="4" t="n">
        <x:v>10</x:v>
      </x:c>
      <x:c r="C5" s="4" t="n">
        <x:f>COUNTIFS(Competitor_Post_Audit!A2:A100,"The Bulkshoppers",Competitor_Post_Audit!M2:M100,"Captured")</x:f>
        <x:v>10</x:v>
      </x:c>
      <x:c r="D5" s="4" t="n">
        <x:f>MAX(B5-C5,0)</x:f>
        <x:v>0</x:v>
      </x:c>
      <x:c r="E5" s="4" t="n">
        <x:f>IFERROR(C5/B5,0)</x:f>
        <x:v>1</x:v>
      </x:c>
      <x:c r="F5" s="4" t="str">
        <x:v>Login/manual capture required.</x:v>
      </x:c>
      <x:c r="G5" s="4" t="str">
        <x:v>Fill Competitor_Post_Audit for The Bulkshoppers.</x:v>
      </x:c>
    </x:row>
    <x:row r="6">
      <x:c r="A6" s="4" t="str">
        <x:v>Green Common IG posts</x:v>
      </x:c>
      <x:c r="B6" s="4" t="n">
        <x:v>10</x:v>
      </x:c>
      <x:c r="C6" s="4" t="n">
        <x:f>COUNTIFS(Competitor_Post_Audit!A2:A100,"Green Common",Competitor_Post_Audit!M2:M100,"Captured")</x:f>
        <x:v>0</x:v>
      </x:c>
      <x:c r="D6" s="4" t="n">
        <x:f>MAX(B6-C6,0)</x:f>
        <x:v>10</x:v>
      </x:c>
      <x:c r="E6" s="4" t="n">
        <x:f>IFERROR(C6/B6,0)</x:f>
        <x:v>0</x:v>
      </x:c>
      <x:c r="F6" s="4" t="str">
        <x:v>Historical benchmark exists; current sample optional.</x:v>
      </x:c>
      <x:c r="G6" s="4" t="str">
        <x:v>Fill current Green Common rows if using current comparison chart.</x:v>
      </x:c>
    </x:row>
    <x:row r="7">
      <x:c r="A7" s="4" t="str">
        <x:v>Stories Highlights</x:v>
      </x:c>
      <x:c r="B7" s="4" t="n">
        <x:v>1</x:v>
      </x:c>
      <x:c r="C7" s="4" t="n">
        <x:f>COUNTIF(Post_Level_Access_Audit!A2:A20,"Slowood Instagram Stories Highlights")*(COUNTIF(Post_Level_Access_Audit!D2:D20,"Captured")+COUNTIF(Post_Level_Access_Audit!D2:D20,"Mostly captured"))</x:f>
        <x:v>6</x:v>
      </x:c>
      <x:c r="D7" s="4" t="n">
        <x:f>MAX(B7-C7,0)</x:f>
        <x:v>0</x:v>
      </x:c>
      <x:c r="E7" s="4" t="n">
        <x:f>IFERROR(C7/B7,0)</x:f>
        <x:v>6</x:v>
      </x:c>
      <x:c r="F7" s="4" t="str">
        <x:v>Stories need interactive IG view.</x:v>
      </x:c>
      <x:c r="G7" s="4" t="str">
        <x:v>Record visible highlight names and classify content focus.</x:v>
      </x:c>
    </x:row>
    <x:row r="8">
      <x:c r="A8" s="4" t="str">
        <x:v>Location-tagged / mention samples</x:v>
      </x:c>
      <x:c r="B8" s="4" t="n">
        <x:v>5</x:v>
      </x:c>
      <x:c r="C8" s="4" t="n">
        <x:f>COUNTA(IG_Tagged_Samples!A2:A100)</x:f>
        <x:v>2</x:v>
      </x:c>
      <x:c r="D8" s="4" t="n">
        <x:f>MAX(B8-C8,0)</x:f>
        <x:v>3</x:v>
      </x:c>
      <x:c r="E8" s="4" t="n">
        <x:f>IFERROR(C8/B8,0)</x:f>
        <x:v>0.4</x:v>
      </x:c>
      <x:c r="F8" s="4" t="str">
        <x:v>Only public indexed samples so far.</x:v>
      </x:c>
      <x:c r="G8" s="4" t="str">
        <x:v>Add logged-in location-tagged samples from IG search.</x:v>
      </x:c>
    </x:row>
  </x:sheetData>
  <x:pageMargins left="0.7" right="0.7" top="0.75" bottom="0.75" header="0.3" footer="0.3"/>
</x:worksheet>
</file>

<file path=xl/worksheets/sheet21.xml><?xml version="1.0" encoding="utf-8"?>
<x:worksheet xmlns:x="http://schemas.openxmlformats.org/spreadsheetml/2006/main">
  <x:sheetFormatPr defaultRowHeight="15"/>
  <x:sheetData>
    <x:row r="1">
      <x:c r="A1" s="3" t="str">
        <x:v>Insight Theme</x:v>
      </x:c>
      <x:c r="B1" s="3" t="str">
        <x:v>Source Channel</x:v>
      </x:c>
      <x:c r="C1" s="3" t="str">
        <x:v>Observed Signal</x:v>
      </x:c>
      <x:c r="D1" s="3" t="str">
        <x:v>Marketing Meaning</x:v>
      </x:c>
      <x:c r="E1" s="3" t="str">
        <x:v>Content Strategy Hook</x:v>
      </x:c>
      <x:c r="F1" s="3" t="str">
        <x:v>Evidence Source</x:v>
      </x:c>
    </x:row>
    <x:row r="2">
      <x:c r="A2" s="4" t="str">
        <x:v>Store visit motivation</x:v>
      </x:c>
      <x:c r="B2" s="4" t="str">
        <x:v>Brand/press sources</x:v>
      </x:c>
      <x:c r="C2" s="4" t="str">
        <x:v>Users are attracted by a curated one-stop sustainable lifestyle store, not just one product category.</x:v>
      </x:c>
      <x:c r="D2" s="4" t="str">
        <x:v>Slowood should package content around lifestyle identity and store experience.</x:v>
      </x:c>
      <x:c r="E2" s="4" t="str">
        <x:v>Make the store visit itself shareable: refill ritual, shelf discovery, 'tiny step' before/after.</x:v>
      </x:c>
      <x:c r="F2" s="4" t="str">
        <x:v>Slowood site, Coconuts, Hive Life, Vogue HK</x:v>
      </x:c>
    </x:row>
    <x:row r="3">
      <x:c r="A3" s="4" t="str">
        <x:v>Aesthetic hook</x:v>
      </x:c>
      <x:c r="B3" s="4" t="str">
        <x:v>Third-party media</x:v>
      </x:c>
      <x:c r="C3" s="4" t="str">
        <x:v>Minimalist, warm-wood, Scandinavian/hygge-style interiors are repeatedly mentioned.</x:v>
      </x:c>
      <x:c r="D3" s="4" t="str">
        <x:v>Visual appeal is a natural UGC hook for Instagram/XHS.</x:v>
      </x:c>
      <x:c r="E3" s="4" t="str">
        <x:v>Use store corners, refill walls, product textures, and tote/container shots as recurring visual templates.</x:v>
      </x:c>
      <x:c r="F3" s="4" t="str">
        <x:v>Coconuts, Vogue HK</x:v>
      </x:c>
    </x:row>
    <x:row r="4">
      <x:c r="A4" s="4" t="str">
        <x:v>Beginner anxiety</x:v>
      </x:c>
      <x:c r="B4" s="4" t="str">
        <x:v>Slowood FAQ/zero-waste page</x:v>
      </x:c>
      <x:c r="C4" s="4" t="str">
        <x:v>Official copy admits completely zero-waste living is not easy, but small changes can be manageable.</x:v>
      </x:c>
      <x:c r="D4" s="4" t="str">
        <x:v>Content should reduce friction and avoid making sustainable living feel moralistic or difficult.</x:v>
      </x:c>
      <x:c r="E4" s="4" t="str">
        <x:v>Series idea: 'One tiny swap this week' with price, shelf location, and how to use it.</x:v>
      </x:c>
      <x:c r="F4" s="4" t="str">
        <x:v>Slowood FAQ, Zero Waste page</x:v>
      </x:c>
    </x:row>
    <x:row r="5">
      <x:c r="A5" s="4" t="str">
        <x:v>Behavioral barrier</x:v>
      </x:c>
      <x:c r="B5" s="4" t="str">
        <x:v>General zero-waste community signal</x:v>
      </x:c>
      <x:c r="C5" s="4" t="str">
        <x:v>Zero-waste shopping can feel expensive, inconvenient, or hard to justify for routine groceries.</x:v>
      </x:c>
      <x:c r="D5" s="4" t="str">
        <x:v>Content must answer practical objections, not only values.</x:v>
      </x:c>
      <x:c r="E5" s="4" t="str">
        <x:v>Compare amount control, refill quantity, local convenience, reusable container routine, and starter bundles.</x:v>
      </x:c>
      <x:c r="F5" s="4" t="str">
        <x:v>Reddit zero-waste discussions, category context</x:v>
      </x:c>
    </x:row>
    <x:row r="6">
      <x:c r="A6" s="4" t="str">
        <x:v>Airport/travel context</x:v>
      </x:c>
      <x:c r="B6" s="4" t="str">
        <x:v>Official Slowood news</x:v>
      </x:c>
      <x:c r="C6" s="4" t="str">
        <x:v>HKIA store gives Slowood a travel-sustainability context beyond regular grocery shopping.</x:v>
      </x:c>
      <x:c r="D6" s="4" t="str">
        <x:v>This is a distinct content angle competitors may not own.</x:v>
      </x:c>
      <x:c r="E6" s="4" t="str">
        <x:v>Create 'low-waste travel kit' and airport souvenir content that tourists can save/share.</x:v>
      </x:c>
      <x:c r="F6" s="4" t="str">
        <x:v>Slowood HKIA launch</x:v>
      </x:c>
    </x:row>
    <x:row r="7">
      <x:c r="A7" s="4" t="str">
        <x:v>Product discovery</x:v>
      </x:c>
      <x:c r="B7" s="4" t="str">
        <x:v>Official website categories</x:v>
      </x:c>
      <x:c r="C7" s="4" t="str">
        <x:v>Slowood spans grocery, personal care, home, cleaning, baby, pets, gifts, refill station.</x:v>
      </x:c>
      <x:c r="D7" s="4" t="str">
        <x:v>The breadth is a strength, but too much catalog content can dilute the story.</x:v>
      </x:c>
      <x:c r="E7" s="4" t="str">
        <x:v>Organize products by user moment: pantry restock, bathroom reset, office snack drawer, gift under HKD200.</x:v>
      </x:c>
      <x:c r="F7" s="4" t="str">
        <x:v>Slowood website navigation</x:v>
      </x:c>
    </x:row>
    <x:row r="8">
      <x:c r="A8" s="4" t="str">
        <x:v>Community proof gap</x:v>
      </x:c>
      <x:c r="B8" s="4" t="str">
        <x:v>Account audit limitation</x:v>
      </x:c>
      <x:c r="C8" s="4" t="str">
        <x:v>No public evidence from static access that UGC is strongly systematized through a visible hashtag/series.</x:v>
      </x:c>
      <x:c r="D8" s="4" t="str">
        <x:v>If confirmed manually, lack of UGC mechanism is a strategic gap.</x:v>
      </x:c>
      <x:c r="E8" s="4" t="str">
        <x:v>Create a persistent user prompt: #MySlowoodTinyStep / #SlowoodRefillRun with monthly reposts.</x:v>
      </x:c>
      <x:c r="F8" s="4" t="str">
        <x:v>Instagram profile metadata + access audit</x:v>
      </x:c>
    </x:row>
    <x:row r="9">
      <x:c r="A9" s="4" t="str">
        <x:v>Competitor clarity</x:v>
      </x:c>
      <x:c r="B9" s="4" t="str">
        <x:v>Live Zero profile</x:v>
      </x:c>
      <x:c r="C9" s="4" t="str">
        <x:v>Live Zero has a concise claim: HK's first zero-waste grocery store.</x:v>
      </x:c>
      <x:c r="D9" s="4" t="str">
        <x:v>Slowood has scale and lifestyle breadth but may need a sharper social content promise.</x:v>
      </x:c>
      <x:c r="E9" s="4" t="str">
        <x:v>Make the social promise: 'sustainable living worth saving, trying, and sharing.'</x:v>
      </x:c>
      <x:c r="F9" s="4" t="str">
        <x:v>Live Zero Instagram metadata</x:v>
      </x:c>
    </x:row>
    <x:row r="10">
      <x:c r="A10" s="4" t="str">
        <x:v>Plant-based benchmark</x:v>
      </x:c>
      <x:c r="B10" s="4" t="str">
        <x:v>Green Common/OmniFoods sources</x:v>
      </x:c>
      <x:c r="C10" s="4" t="str">
        <x:v>Green Common ecosystem turns sustainability into recipes, meals, and easy everyday choices.</x:v>
      </x:c>
      <x:c r="D10" s="4" t="str">
        <x:v>Slowood can borrow the use-case-first content logic without becoming a food-only brand.</x:v>
      </x:c>
      <x:c r="E10" s="4" t="str">
        <x:v>Run recipe/refill pairings: bulk oats breakfast, spice jar refill, lunchbox snack refill.</x:v>
      </x:c>
      <x:c r="F10" s="4" t="str">
        <x:v>Green Common site, Viable Earth</x:v>
      </x:c>
    </x:row>
    <x:row r="11">
      <x:c r="A11" s="4" t="str">
        <x:v>Xiaohongshu visitor hook</x:v>
      </x:c>
      <x:c r="B11" s="4" t="str">
        <x:v>U Lifestyle summary of XHS discussion</x:v>
      </x:c>
      <x:c r="C11" s="4" t="str">
        <x:v>Mainland users described Slowood as a Hong Kong must-visit and compared it to a Hong Kong Trader Joe's.</x:v>
      </x:c>
      <x:c r="D11" s="4" t="str">
        <x:v>The share trigger is not purely eco values; it is a travel/shopping discovery identity signal.</x:v>
      </x:c>
      <x:c r="E11" s="4" t="str">
        <x:v>Build XHS/search content around 'Hong Kong sustainable grocery worth visiting', 'what to buy at Slowood', and 'Central Market / airport route' hooks.</x:v>
      </x:c>
      <x:c r="F11" s="4" t="str">
        <x:v>U Lifestyle 2023 XHS viral article</x:v>
      </x:c>
    </x:row>
    <x:row r="12">
      <x:c r="A12" s="4" t="str">
        <x:v>Price barrier</x:v>
      </x:c>
      <x:c r="B12" s="4" t="str">
        <x:v>U Lifestyle + Wanderlog reviews</x:v>
      </x:c>
      <x:c r="C12" s="4" t="str">
        <x:v>Users praised range and design but repeatedly flagged high prices or 'buy a little' behavior.</x:v>
      </x:c>
      <x:c r="D12" s="4" t="str">
        <x:v>Content should explain value and lower trial commitment, not only show premium products.</x:v>
      </x:c>
      <x:c r="E12" s="4" t="str">
        <x:v>Use 'under HKD100 tiny swaps', refill discount, exact grams/amount control, and starter basket content.</x:v>
      </x:c>
      <x:c r="F12" s="4" t="str">
        <x:v>U Lifestyle 2023, Wanderlog Google review excerpts</x:v>
      </x:c>
    </x:row>
    <x:row r="13">
      <x:c r="A13" s="4" t="str">
        <x:v>Practical product discovery</x:v>
      </x:c>
      <x:c r="B13" s="4" t="str">
        <x:v>U Lifestyle 2025 XHS product article</x:v>
      </x:c>
      <x:c r="C13" s="4" t="str">
        <x:v>A HKD78 product became a Xiaohongshu discussion point because it was described as good-looking, practical, high value, and suitable for concerts/hiking.</x:v>
      </x:c>
      <x:c r="D13" s="4" t="str">
        <x:v>Shareable content can start from concrete daily-use objects, then connect back to sustainable lifestyle.</x:v>
      </x:c>
      <x:c r="E13" s="4" t="str">
        <x:v>Series idea: 'Slowood hidden useful finds' by scenario: concert, hiking, office, airport, bathroom, pantry.</x:v>
      </x:c>
      <x:c r="F13" s="4" t="str">
        <x:v>U Lifestyle 2025</x:v>
      </x:c>
    </x:row>
    <x:row r="14">
      <x:c r="A14" s="4" t="str">
        <x:v>Official tiny-step logic</x:v>
      </x:c>
      <x:c r="B14" s="4" t="str">
        <x:v>HKTDC founder interview</x:v>
      </x:c>
      <x:c r="C14" s="4" t="str">
        <x:v>Slowood's founder described environmental messages on social media as 20-30% of content and emphasized that going green starts with small steps.</x:v>
      </x:c>
      <x:c r="D14" s="4" t="str">
        <x:v>The 'tiny step' strategy is not invented externally; it can be grounded in the brand's own language and operating philosophy.</x:v>
      </x:c>
      <x:c r="E14" s="4" t="str">
        <x:v>Make tiny steps a visible recurring series instead of a background brand value.</x:v>
      </x:c>
      <x:c r="F14" s="4" t="str">
        <x:v>HKTDC</x:v>
      </x:c>
    </x:row>
    <x:row r="15">
      <x:c r="A15" s="4" t="str">
        <x:v>Refill as operational proof</x:v>
      </x:c>
      <x:c r="B15" s="4" t="str">
        <x:v>HKTDC founder interview</x:v>
      </x:c>
      <x:c r="C15" s="4" t="str">
        <x:v>HKTDC reported the Central Market store devoted more than half of outlet space to refill, with discounts or small gifts for customers who bring reusable containers.</x:v>
      </x:c>
      <x:c r="D15" s="4" t="str">
        <x:v>Refill is not a minor product feature; it is a physical and behavioral brand asset.</x:v>
      </x:c>
      <x:c r="E15" s="4" t="str">
        <x:v>Use refill as a hero ritual in Reels, Stories Highlights, and UGC prompts.</x:v>
      </x:c>
      <x:c r="F15" s="4" t="str">
        <x:v>HKTDC</x:v>
      </x:c>
    </x:row>
    <x:row r="16">
      <x:c r="A16" s="4" t="str">
        <x:v>Local hangout context</x:v>
      </x:c>
      <x:c r="B16" s="4" t="str">
        <x:v>Reddit / Central Market discussion</x:v>
      </x:c>
      <x:c r="C16" s="4" t="str">
        <x:v>A Hong Kong community thread mentioned Slowood in the context of browsing Central Market as a weekend hangout, alongside stores and dining.</x:v>
      </x:c>
      <x:c r="D16" s="4" t="str">
        <x:v>Slowood can fit leisure browsing and itinerary behavior, not only mission-led shopping.</x:v>
      </x:c>
      <x:c r="E16" s="4" t="str">
        <x:v>Create route-based content: Central Market slow shopping, Kennedy Town afternoon, airport stopover.</x:v>
      </x:c>
      <x:c r="F16" s="4" t="str">
        <x:v>Reddit Hong Kong thread</x:v>
      </x:c>
    </x:row>
    <x:row r="17">
      <x:c r="A17" s="4" t="str">
        <x:v>OpenRice/Google review availability</x:v>
      </x:c>
      <x:c r="B17" s="4" t="str">
        <x:v>Corner / Wanderlog place listings</x:v>
      </x:c>
      <x:c r="C17" s="4" t="str">
        <x:v>Slowood is more consistently visible in place/review aggregators than restaurant-first OpenRice search results; Kennedy Town listing shows 4.4 rating from 178 Google reviews on Corner, while Wanderlog had 4.2 from 287 reviews.</x:v>
      </x:c>
      <x:c r="D17" s="4" t="str">
        <x:v>For consumer evidence, Google review aggregators are more useful than OpenRice for this retail brand.</x:v>
      </x:c>
      <x:c r="E17" s="4" t="str">
        <x:v>Code review keywords around interior, refill, product range, price and staff instead of restaurant dining factors.</x:v>
      </x:c>
      <x:c r="F17" s="4" t="str">
        <x:v>Corner; Wanderlog</x:v>
      </x:c>
    </x:row>
    <x:row r="18">
      <x:c r="A18" s="4" t="str">
        <x:v>Refill barrier</x:v>
      </x:c>
      <x:c r="B18" s="4" t="str">
        <x:v>Refill.hk</x:v>
      </x:c>
      <x:c r="C18" s="4" t="str">
        <x:v>Refill.hk says convenience and cost are large barriers for people who have not yet adopted refill, while existing customers collectively made small lifestyle changes.</x:v>
      </x:c>
      <x:c r="D18" s="4" t="str">
        <x:v>This precisely supports content that reduces friction rather than only preaching sustainability.</x:v>
      </x:c>
      <x:c r="E18" s="4" t="str">
        <x:v>Explain refill as easy, affordable, and nearby; show step-by-step Refill Point use.</x:v>
      </x:c>
      <x:c r="F18" s="4" t="str">
        <x:v>Refill.hk</x:v>
      </x:c>
    </x:row>
    <x:row r="19">
      <x:c r="A19" s="4" t="str">
        <x:v>Tourist/shopper photo hook</x:v>
      </x:c>
      <x:c r="B19" s="4" t="str">
        <x:v>Becca Daily</x:v>
      </x:c>
      <x:c r="C19" s="4" t="str">
        <x:v>2025 blog describes Slowood as a Hong Kong shop to visit, with warm wood decor, relaxing scent, spacious layout, office workers and tourists, and many image-led sections.</x:v>
      </x:c>
      <x:c r="D19" s="4" t="str">
        <x:v>The user-generated content hook is sensory and visual: smell, shelves, product textures, haul photos, and branch route details.</x:v>
      </x:c>
      <x:c r="E19" s="4" t="str">
        <x:v>Use XHS-style posts: Hong Kong slow shopping route, what to buy at Slowood, souvenir haul, refill first try.</x:v>
      </x:c>
      <x:c r="F19" s="4" t="str">
        <x:v>Becca Daily</x:v>
      </x:c>
    </x:row>
    <x:row r="20">
      <x:c r="A20" s="4" t="str">
        <x:v>Niche souvenir hook</x:v>
      </x:c>
      <x:c r="B20" s="4" t="str">
        <x:v>Ta Kung Wen Wei / Hong Kong Commercial Daily</x:v>
      </x:c>
      <x:c r="C20" s="4" t="str">
        <x:v>Article says Slowood is recommended by Xiaohongshu users as a 'treasure shop' and frames Sagrada Madre incense as a niche must-buy Hong Kong souvenir.</x:v>
      </x:c>
      <x:c r="D20" s="4" t="str">
        <x:v>Products with specific sensory/story value can travel better on XHS than generic eco categories.</x:v>
      </x:c>
      <x:c r="E20" s="4" t="str">
        <x:v>Create 'niche souvenir from Slowood' content with incense, scent, gift and travel contexts.</x:v>
      </x:c>
      <x:c r="F20" s="4" t="str">
        <x:v>TKWW</x:v>
      </x:c>
    </x:row>
    <x:row r="21">
      <x:c r="A21" s="4" t="str">
        <x:v>Route/directions context</x:v>
      </x:c>
      <x:c r="B21" s="4" t="str">
        <x:v>iDiscover Maps</x:v>
      </x:c>
      <x:c r="C21" s="4" t="str">
        <x:v>iDiscover positions Central Market Slowood as 'meets you on your eco-journey' with map/directions and share links.</x:v>
      </x:c>
      <x:c r="D21" s="4" t="str">
        <x:v>Slowood can be packaged as a route stop inside Central Market and city-walk itineraries.</x:v>
      </x:c>
      <x:c r="E21" s="4" t="str">
        <x:v>Create saveable route posts for Central, Kennedy Town, Causeway Bay and HKIA.</x:v>
      </x:c>
      <x:c r="F21" s="4" t="str">
        <x:v>iDiscover</x:v>
      </x:c>
    </x:row>
  </x:sheetData>
  <x:pageMargins left="0.7" right="0.7" top="0.75" bottom="0.75" header="0.3" footer="0.3"/>
</x:worksheet>
</file>

<file path=xl/worksheets/sheet22.xml><?xml version="1.0" encoding="utf-8"?>
<x:worksheet xmlns:x="http://schemas.openxmlformats.org/spreadsheetml/2006/main">
  <x:sheetFormatPr defaultRowHeight="15"/>
  <x:sheetData>
    <x:row r="1">
      <x:c r="A1" s="3" t="str">
        <x:v>Sample ID</x:v>
      </x:c>
      <x:c r="B1" s="3" t="str">
        <x:v>Channel</x:v>
      </x:c>
      <x:c r="C1" s="3" t="str">
        <x:v>Subject</x:v>
      </x:c>
      <x:c r="D1" s="3" t="str">
        <x:v>Observed Signal</x:v>
      </x:c>
      <x:c r="E1" s="3" t="str">
        <x:v>Coded Motivation / Barrier</x:v>
      </x:c>
      <x:c r="F1" s="3" t="str">
        <x:v>Sentiment</x:v>
      </x:c>
      <x:c r="G1" s="3" t="str">
        <x:v>Implication for Content Strategy</x:v>
      </x:c>
      <x:c r="H1" s="3" t="str">
        <x:v>Source URL</x:v>
      </x:c>
    </x:row>
    <x:row r="2">
      <x:c r="A2" s="4" t="str">
        <x:v>QS-01</x:v>
      </x:c>
      <x:c r="B2" s="4" t="str">
        <x:v>Xiaohongshu via U Lifestyle</x:v>
      </x:c>
      <x:c r="C2" s="4" t="str">
        <x:v>Slowood Central / broader stores</x:v>
      </x:c>
      <x:c r="D2" s="4" t="str">
        <x:v>Users called Slowood a Hong Kong must-visit, 'Hong Kong Trader Joe's', and liked wide choice, self-serve dry fruit/flowers, no hard selling, and Nordic-style comfort.</x:v>
      </x:c>
      <x:c r="E2" s="4" t="str">
        <x:v>Travel/shopping discovery; visual lifestyle identity; product variety.</x:v>
      </x:c>
      <x:c r="F2" s="4" t="str">
        <x:v>Positive but price-sensitive.</x:v>
      </x:c>
      <x:c r="G2" s="4" t="str">
        <x:v>Use XHS hooks around must-visit, what to buy, route, and aesthetic store experience.</x:v>
      </x:c>
      <x:c r="H2" s="4" t="str">
        <x:v>https://hk.ulifestyle.com.hk/activity/detail/20011494/</x:v>
      </x:c>
    </x:row>
    <x:row r="3">
      <x:c r="A3" s="4" t="str">
        <x:v>QS-02</x:v>
      </x:c>
      <x:c r="B3" s="4" t="str">
        <x:v>Xiaohongshu via U Lifestyle</x:v>
      </x:c>
      <x:c r="C3" s="4" t="str">
        <x:v>Slowood price discussion</x:v>
      </x:c>
      <x:c r="D3" s="4" t="str">
        <x:v>Negative/hesitant comments focused on expensive pricing, 'buy a little', and affordability concerns.</x:v>
      </x:c>
      <x:c r="E3" s="4" t="str">
        <x:v>Barrier: price and perceived premium positioning.</x:v>
      </x:c>
      <x:c r="F3" s="4" t="str">
        <x:v>Mixed/negative.</x:v>
      </x:c>
      <x:c r="G3" s="4" t="str">
        <x:v>Create low-commitment content: under-HKD100 swaps, refill discount, exact grams, starter list.</x:v>
      </x:c>
      <x:c r="H3" s="4" t="str">
        <x:v>https://hk.ulifestyle.com.hk/activity/detail/20011494/</x:v>
      </x:c>
    </x:row>
    <x:row r="4">
      <x:c r="A4" s="4" t="str">
        <x:v>QS-03</x:v>
      </x:c>
      <x:c r="B4" s="4" t="str">
        <x:v>Xiaohongshu via U Lifestyle</x:v>
      </x:c>
      <x:c r="C4" s="4" t="str">
        <x:v>HKIA store product discovery</x:v>
      </x:c>
      <x:c r="D4" s="4" t="str">
        <x:v>A HKD78 hidden product was described as good-looking, practical, high CP value, and useful for concerts/hiking.</x:v>
      </x:c>
      <x:c r="E4" s="4" t="str">
        <x:v>Concrete object-driven sharing; scenario-based usefulness.</x:v>
      </x:c>
      <x:c r="F4" s="4" t="str">
        <x:v>Positive.</x:v>
      </x:c>
      <x:c r="G4" s="4" t="str">
        <x:v>Create 'hidden useful finds' series by scenario rather than product catalog only.</x:v>
      </x:c>
      <x:c r="H4" s="4" t="str">
        <x:v>https://hk.ulifestyle.com.hk/topic/detail/20080535/</x:v>
      </x:c>
    </x:row>
    <x:row r="5">
      <x:c r="A5" s="4" t="str">
        <x:v>QS-04</x:v>
      </x:c>
      <x:c r="B5" s="4" t="str">
        <x:v>Google reviews via Wanderlog</x:v>
      </x:c>
      <x:c r="C5" s="4" t="str">
        <x:v>Slowood Kennedy Town</x:v>
      </x:c>
      <x:c r="D5" s="4" t="str">
        <x:v>Aggregated rating: 4.2/5 from 287 Google reviews; reviews mention bright/natural interior, refill/pick-and-pack stations, exact grams, and thinking about not overbuying.</x:v>
      </x:c>
      <x:c r="E5" s="4" t="str">
        <x:v>Store experience supports 'mindful consumption' and shareable refill ritual.</x:v>
      </x:c>
      <x:c r="F5" s="4" t="str">
        <x:v>Positive.</x:v>
      </x:c>
      <x:c r="G5" s="4" t="str">
        <x:v>Turn refill/pick-and-pack into a step-by-step social series.</x:v>
      </x:c>
      <x:c r="H5" s="4" t="str">
        <x:v>https://wanderlog.com/place/details/6048252/slowood-kennedy-town</x:v>
      </x:c>
    </x:row>
    <x:row r="6">
      <x:c r="A6" s="4" t="str">
        <x:v>QS-05</x:v>
      </x:c>
      <x:c r="B6" s="4" t="str">
        <x:v>Google reviews via Wanderlog</x:v>
      </x:c>
      <x:c r="C6" s="4" t="str">
        <x:v>Slowood Kennedy Town</x:v>
      </x:c>
      <x:c r="D6" s="4" t="str">
        <x:v>Reviews praise vegan/organic range and staff knowledge, but mention price can be expensive and recommend bringing containers for 5% discount.</x:v>
      </x:c>
      <x:c r="E6" s="4" t="str">
        <x:v>Price barrier can be reframed with discount and quantity control.</x:v>
      </x:c>
      <x:c r="F6" s="4" t="str">
        <x:v>Mixed.</x:v>
      </x:c>
      <x:c r="G6" s="4" t="str">
        <x:v>Make value mechanics visible in captions: BYO container discount, buy only what you need.</x:v>
      </x:c>
      <x:c r="H6" s="4" t="str">
        <x:v>https://wanderlog.com/place/details/6048252/slowood-kennedy-town</x:v>
      </x:c>
    </x:row>
    <x:row r="7">
      <x:c r="A7" s="4" t="str">
        <x:v>QS-06</x:v>
      </x:c>
      <x:c r="B7" s="4" t="str">
        <x:v>Travel/local guide</x:v>
      </x:c>
      <x:c r="C7" s="4" t="str">
        <x:v>Kennedy Town visit</x:v>
      </x:c>
      <x:c r="D7" s="4" t="str">
        <x:v>Happy Hongkonger frames Slowood as a well-lit minimalist shop for bulk food, plastic-free household/beauty items, organic pantry staples, and eco-friendly gifts.</x:v>
      </x:c>
      <x:c r="E7" s="4" t="str">
        <x:v>Gift and local itinerary use case.</x:v>
      </x:c>
      <x:c r="F7" s="4" t="str">
        <x:v>Positive.</x:v>
      </x:c>
      <x:c r="G7" s="4" t="str">
        <x:v>Create giftable sustainable lifestyle baskets and Kennedy Town route content.</x:v>
      </x:c>
      <x:c r="H7" s="4" t="str">
        <x:v>https://www.happyhongkonger.com/guide-to-kennedy-town/</x:v>
      </x:c>
    </x:row>
    <x:row r="8">
      <x:c r="A8" s="4" t="str">
        <x:v>QS-07</x:v>
      </x:c>
      <x:c r="B8" s="4" t="str">
        <x:v>Travel/lifestyle guide</x:v>
      </x:c>
      <x:c r="C8" s="4" t="str">
        <x:v>Kennedy Town visit</x:v>
      </x:c>
      <x:c r="D8" s="4" t="str">
        <x:v>Tatler describes Slowood as a one-stop eco lifestyle store and says every corner is suitable for Instagram because of minimalist decor, floor-to-ceiling windows, and wood design.</x:v>
      </x:c>
      <x:c r="E8" s="4" t="str">
        <x:v>The store is already perceived as photogenic and Instagrammable.</x:v>
      </x:c>
      <x:c r="F8" s="4" t="str">
        <x:v>Positive.</x:v>
      </x:c>
      <x:c r="G8" s="4" t="str">
        <x:v>Encourage UGC with photo spot prompts and store-corner templates.</x:v>
      </x:c>
      <x:c r="H8" s="4" t="str">
        <x:v>https://www.tatlerasia.com/lifestyle/travel/neighbourhood-guide-where-to-eat-drink-shop-kennedy-town-zh-hans</x:v>
      </x:c>
    </x:row>
    <x:row r="9">
      <x:c r="A9" s="4" t="str">
        <x:v>QS-08</x:v>
      </x:c>
      <x:c r="B9" s="4" t="str">
        <x:v>PopDaily embedded IG article</x:v>
      </x:c>
      <x:c r="C9" s="4" t="str">
        <x:v>Early Slowood content/store scenes</x:v>
      </x:c>
      <x:c r="D9" s="4" t="str">
        <x:v>Older article embedded multiple Slowood IG posts and described the store name, calm design, bring-your-own-container refill process, product stories, and cafe-style stay experience.</x:v>
      </x:c>
      <x:c r="E9" s="4" t="str">
        <x:v>Historical content pillars: meaning, space, refill behavior, product discovery, cafe dwell time.</x:v>
      </x:c>
      <x:c r="F9" s="4" t="str">
        <x:v>Positive.</x:v>
      </x:c>
      <x:c r="G9" s="4" t="str">
        <x:v>Revive these pillars as modern short-form series: meaning, refill, product story, stay/visit.</x:v>
      </x:c>
      <x:c r="H9" s="4" t="str">
        <x:v>https://popdaily.com/hk/article/153181</x:v>
      </x:c>
    </x:row>
    <x:row r="10">
      <x:c r="A10" s="4" t="str">
        <x:v>QS-09</x:v>
      </x:c>
      <x:c r="B10" s="4" t="str">
        <x:v>DBS brand/ESG feature</x:v>
      </x:c>
      <x:c r="C10" s="4" t="str">
        <x:v>Naked shopping behavior</x:v>
      </x:c>
      <x:c r="D10" s="4" t="str">
        <x:v>DBS explains naked shopping as BYO container shopping and quotes Slowood's easy-going approach; it also claims RefillFirst lifted sales threefold.</x:v>
      </x:c>
      <x:c r="E10" s="4" t="str">
        <x:v>Refill is not only values content; it is a proven behavior and commercial lever.</x:v>
      </x:c>
      <x:c r="F10" s="4" t="str">
        <x:v>Positive.</x:v>
      </x:c>
      <x:c r="G10" s="4" t="str">
        <x:v>Make RefillFirst/Refill Point a hero content pillar with how-to, result, and repeat-use prompts.</x:v>
      </x:c>
      <x:c r="H10" s="4" t="str">
        <x:v>https://www.dbs.com/livemore/hk-zh/inspirations/sustainable-living-by-buying-naked.html</x:v>
      </x:c>
    </x:row>
    <x:row r="11">
      <x:c r="A11" s="4" t="str">
        <x:v>QS-10</x:v>
      </x:c>
      <x:c r="B11" s="4" t="str">
        <x:v>HKTDC founder interview</x:v>
      </x:c>
      <x:c r="C11" s="4" t="str">
        <x:v>Slowood social education</x:v>
      </x:c>
      <x:c r="D11" s="4" t="str">
        <x:v>Founder Dora Lam said social media posts with environmental messages account for about 20-30% of content, and that the team aims to show sustainability can fit daily life with small steps.</x:v>
      </x:c>
      <x:c r="E11" s="4" t="str">
        <x:v>Brand-native small-step logic; education is present but not the majority of content.</x:v>
      </x:c>
      <x:c r="F11" s="4" t="str">
        <x:v>Positive.</x:v>
      </x:c>
      <x:c r="G11" s="4" t="str">
        <x:v>Develop 'tiny step' as a recurring branded series with clearer user action and measurable participation.</x:v>
      </x:c>
      <x:c r="H11" s="4" t="str">
        <x:v>https://hkmb.hktdc.com/en/1X0AIJ6N/article/start-up-takes-eco-shopping-slow</x:v>
      </x:c>
    </x:row>
    <x:row r="12">
      <x:c r="A12" s="4" t="str">
        <x:v>QS-11</x:v>
      </x:c>
      <x:c r="B12" s="4" t="str">
        <x:v>HKTDC founder interview</x:v>
      </x:c>
      <x:c r="C12" s="4" t="str">
        <x:v>Central Market refill design</x:v>
      </x:c>
      <x:c r="D12" s="4" t="str">
        <x:v>The Central Market store was described as using more than half of outlet space for refill products, with discounts or small gifts to encourage reusable containers.</x:v>
      </x:c>
      <x:c r="E12" s="4" t="str">
        <x:v>Refill is a designed in-store behavior with incentive mechanics.</x:v>
      </x:c>
      <x:c r="F12" s="4" t="str">
        <x:v>Positive.</x:v>
      </x:c>
      <x:c r="G12" s="4" t="str">
        <x:v>Turn refill from store feature into content ritual: bring, fill, weigh, label, use, share.</x:v>
      </x:c>
      <x:c r="H12" s="4" t="str">
        <x:v>https://hkmb.hktdc.com/en/1X0AIJ6N/article/start-up-takes-eco-shopping-slow</x:v>
      </x:c>
    </x:row>
    <x:row r="13">
      <x:c r="A13" s="4" t="str">
        <x:v>QS-12</x:v>
      </x:c>
      <x:c r="B13" s="4" t="str">
        <x:v>Corner place listing / Google aggregation</x:v>
      </x:c>
      <x:c r="C13" s="4" t="str">
        <x:v>Slowood Kennedy Town</x:v>
      </x:c>
      <x:c r="D13" s="4" t="str">
        <x:v>Corner lists Slowood Kennedy Town as a grocery store with 4.4 rating from 178 Google reviews, open daily 10:00-21:30.</x:v>
      </x:c>
      <x:c r="E13" s="4" t="str">
        <x:v>Kennedy Town store has enough place-review volume to support keyword coding.</x:v>
      </x:c>
      <x:c r="F13" s="4" t="str">
        <x:v>Positive.</x:v>
      </x:c>
      <x:c r="G13" s="4" t="str">
        <x:v>Use Google review aggregation and manual review capture for environment/product/price/service keyword counts.</x:v>
      </x:c>
      <x:c r="H13" s="4" t="str">
        <x:v>https://www.corner.inc/place/96174?listId=f31b4196-9621-40b9-90d3-b8b9108907f0</x:v>
      </x:c>
    </x:row>
    <x:row r="14">
      <x:c r="A14" s="4" t="str">
        <x:v>QS-13</x:v>
      </x:c>
      <x:c r="B14" s="4" t="str">
        <x:v>Reddit Hong Kong</x:v>
      </x:c>
      <x:c r="C14" s="4" t="str">
        <x:v>Central Market weekend hangout</x:v>
      </x:c>
      <x:c r="D14" s="4" t="str">
        <x:v>A Central Market discussion mentioned Slowood among browsable stores such as Slowood and Bricks &amp; Mortar, in a leisure weekend context.</x:v>
      </x:c>
      <x:c r="E14" s="4" t="str">
        <x:v>Slowood can be part of an itinerary and browsing habit, not only a planned eco purchase.</x:v>
      </x:c>
      <x:c r="F14" s="4" t="str">
        <x:v>Neutral/positive.</x:v>
      </x:c>
      <x:c r="G14" s="4" t="str">
        <x:v>Create 'slow weekend route' and Central Market browsing content for social search and saves.</x:v>
      </x:c>
      <x:c r="H14" s="4" t="str">
        <x:v>https://www.reddit.com/r/HongKong/comments/utknq6/central_market_a_good_weekend_hangout_spot/</x:v>
      </x:c>
    </x:row>
    <x:row r="15">
      <x:c r="A15" s="4" t="str">
        <x:v>QS-14</x:v>
      </x:c>
      <x:c r="B15" s="4" t="str">
        <x:v>The BulkSHoppers Linktree</x:v>
      </x:c>
      <x:c r="C15" s="4" t="str">
        <x:v>Competitor link-in-bio</x:v>
      </x:c>
      <x:c r="D15" s="4" t="str">
        <x:v>The BulkSHoppers maintains a Linktree hub for contact/order/social actions.</x:v>
      </x:c>
      <x:c r="E15" s="4" t="str">
        <x:v>Small direct competitors may be more practical and action-led in conversion routing.</x:v>
      </x:c>
      <x:c r="F15" s="4" t="str">
        <x:v>Neutral.</x:v>
      </x:c>
      <x:c r="G15" s="4" t="str">
        <x:v>Compare Slowood's broad Linktree against more direct order/contact flows when auditing traffic handoff.</x:v>
      </x:c>
      <x:c r="H15" s="4" t="str">
        <x:v>https://linktr.ee/thebulkshoppers</x:v>
      </x:c>
    </x:row>
    <x:row r="16">
      <x:c r="A16" s="4" t="str">
        <x:v>QS-15</x:v>
      </x:c>
      <x:c r="B16" s="4" t="str">
        <x:v>Refill.hk</x:v>
      </x:c>
      <x:c r="C16" s="4" t="str">
        <x:v>Refill community and barriers</x:v>
      </x:c>
      <x:c r="D16" s="4" t="str">
        <x:v>Refill.hk frames sustainability as accessible and affordable, says customers collectively made small lifestyle changes, and identifies convenience and cost as barriers for those yet to change.</x:v>
      </x:c>
      <x:c r="E16" s="4" t="str">
        <x:v>Direct evidence for friction-reduction content and refill habit-building.</x:v>
      </x:c>
      <x:c r="F16" s="4" t="str">
        <x:v>Positive with barrier.</x:v>
      </x:c>
      <x:c r="G16" s="4" t="str">
        <x:v>Use refill tutorials, nearby-location prompts, cost/value explanation and first-time bottle guidance.</x:v>
      </x:c>
      <x:c r="H16" s="4" t="str">
        <x:v>https://www.refill.hk/</x:v>
      </x:c>
    </x:row>
    <x:row r="17">
      <x:c r="A17" s="4" t="str">
        <x:v>QS-16</x:v>
      </x:c>
      <x:c r="B17" s="4" t="str">
        <x:v>Refill.hk</x:v>
      </x:c>
      <x:c r="C17" s="4" t="str">
        <x:v>Refill Point performance proof</x:v>
      </x:c>
      <x:c r="D17" s="4" t="str">
        <x:v>Refill.hk says testing REFILL First at Central and Shatin recorded quadruple sales growth on bulk personal care items.</x:v>
      </x:c>
      <x:c r="E17" s="4" t="str">
        <x:v>Refill content can connect behavior change to commercial traction.</x:v>
      </x:c>
      <x:c r="F17" s="4" t="str">
        <x:v>Positive.</x:v>
      </x:c>
      <x:c r="G17" s="4" t="str">
        <x:v>Make refill a measurable campaign: refill-related product clicks, refill station visits, UGC mentions, story replies.</x:v>
      </x:c>
      <x:c r="H17" s="4" t="str">
        <x:v>https://www.refill.hk/</x:v>
      </x:c>
    </x:row>
    <x:row r="18">
      <x:c r="A18" s="4" t="str">
        <x:v>QS-17</x:v>
      </x:c>
      <x:c r="B18" s="4" t="str">
        <x:v>Becca Daily</x:v>
      </x:c>
      <x:c r="C18" s="4" t="str">
        <x:v>Travel-blog Slowood visit</x:v>
      </x:c>
      <x:c r="D18" s="4" t="str">
        <x:v>The 2025 article describes warm wood decor, calming scent, spacious flow, office workers and tourists, testers, relaxed browsing, snacks/dried food refill, branches and souvenir haul.</x:v>
      </x:c>
      <x:c r="E18" s="4" t="str">
        <x:v>Visitor content is visual, sensory and itinerary-friendly.</x:v>
      </x:c>
      <x:c r="F18" s="4" t="str">
        <x:v>Positive.</x:v>
      </x:c>
      <x:c r="G18" s="4" t="str">
        <x:v>Design XHS/IG hooks around scent, shelf visuals, must-buy products, branch guide and haul photos.</x:v>
      </x:c>
      <x:c r="H18" s="4" t="str">
        <x:v>https://beccadaily.com/p7730/</x:v>
      </x:c>
    </x:row>
    <x:row r="19">
      <x:c r="A19" s="4" t="str">
        <x:v>QS-18</x:v>
      </x:c>
      <x:c r="B19" s="4" t="str">
        <x:v>Ta Kung Wen Wei / Hong Kong Commercial Daily</x:v>
      </x:c>
      <x:c r="C19" s="4" t="str">
        <x:v>XHS treasure shop / niche souvenir</x:v>
      </x:c>
      <x:c r="D19" s="4" t="str">
        <x:v>2025 article says Xiaohongshu users recommend Slowood as a 'treasure shop' and identify Sagrada Madre incense as a niche must-buy souvenir.</x:v>
      </x:c>
      <x:c r="E19" s="4" t="str">
        <x:v>Specific product stories can unlock shareability better than generic product catalog posts.</x:v>
      </x:c>
      <x:c r="F19" s="4" t="str">
        <x:v>Positive.</x:v>
      </x:c>
      <x:c r="G19" s="4" t="str">
        <x:v>Create 'Slowood niche souvenir' and 'what to buy before leaving HK' content, especially for airport and tourist routes.</x:v>
      </x:c>
      <x:c r="H19" s="4" t="str">
        <x:v>https://www.tkww.hk/epaper/view/newsDetail/1912186705348268032.html</x:v>
      </x:c>
    </x:row>
    <x:row r="20">
      <x:c r="A20" s="4" t="str">
        <x:v>QS-19</x:v>
      </x:c>
      <x:c r="B20" s="4" t="str">
        <x:v>Time Out</x:v>
      </x:c>
      <x:c r="C20" s="4" t="str">
        <x:v>Kennedy Town opening and refill value</x:v>
      </x:c>
      <x:c r="D20" s="4" t="str">
        <x:v>Time Out described a 3,000 sq ft, floor-to-ceiling-window store with 100+ brands, bulk grocery staples and refill station where customers could bring clean bottles for staples at cheaper prices.</x:v>
      </x:c>
      <x:c r="E20" s="4" t="str">
        <x:v>Store scale, product breadth and price/value refill logic were visible from launch.</x:v>
      </x:c>
      <x:c r="F20" s="4" t="str">
        <x:v>Positive.</x:v>
      </x:c>
      <x:c r="G20" s="4" t="str">
        <x:v>Use before/after refill and 'bulk staples at exact amount' visuals to explain value.</x:v>
      </x:c>
      <x:c r="H20" s="4" t="str">
        <x:v>https://www.timeout.com/hong-kong/news/new-sustainable-grocery-shop-slowood-opens-in-kennedy-town-011819</x:v>
      </x:c>
    </x:row>
    <x:row r="21">
      <x:c r="A21" s="4" t="str">
        <x:v>QS-20</x:v>
      </x:c>
      <x:c r="B21" s="4" t="str">
        <x:v>iDiscover Maps</x:v>
      </x:c>
      <x:c r="C21" s="4" t="str">
        <x:v>Central Market eco-journey stop</x:v>
      </x:c>
      <x:c r="D21" s="4" t="str">
        <x:v>iDiscover lists Slowood Central Market as 'meets you on your eco-journey' with share and map/directions affordances.</x:v>
      </x:c>
      <x:c r="E21" s="4" t="str">
        <x:v>Slowood can be content-packaged as a route stop, not only a product seller.</x:v>
      </x:c>
      <x:c r="F21" s="4" t="str">
        <x:v>Positive.</x:v>
      </x:c>
      <x:c r="G21" s="4" t="str">
        <x:v>Build route cards: Central Market eco stop, Kennedy Town afternoon, Hysan Place shopping, HKIA before departure.</x:v>
      </x:c>
      <x:c r="H21" s="4" t="str">
        <x:v>https://i-discoverasia.com/walks/circular-city-map-hongkong/locations/slowood/</x:v>
      </x:c>
    </x:row>
    <x:row r="22">
      <x:c r="A22" s="4" t="str">
        <x:v>QS-21</x:v>
      </x:c>
      <x:c r="B22" s="4" t="str">
        <x:v>abillion</x:v>
      </x:c>
      <x:c r="C22" s="4" t="str">
        <x:v>Vegan/healthy category listing</x:v>
      </x:c>
      <x:c r="D22" s="4" t="str">
        <x:v>abillion lists Slowood Kennedy Town with vegan/healthy tags and low review volume.</x:v>
      </x:c>
      <x:c r="E22" s="4" t="str">
        <x:v>There is a vegan/healthy audience adjacency, but review volume is weaker than Google aggregation.</x:v>
      </x:c>
      <x:c r="F22" s="4" t="str">
        <x:v>Neutral.</x:v>
      </x:c>
      <x:c r="G22" s="4" t="str">
        <x:v>Use vegan/healthy as secondary audience tags; avoid over-weighting abillion for quantitative review analysis.</x:v>
      </x:c>
      <x:c r="H22" s="4" t="str">
        <x:v>https://www.abillion.com/restaurants/slowood-10232030</x:v>
      </x:c>
    </x:row>
  </x:sheetData>
  <x:pageMargins left="0.7" right="0.7" top="0.75" bottom="0.75" header="0.3" footer="0.3"/>
</x:worksheet>
</file>

<file path=xl/worksheets/sheet23.xml><?xml version="1.0" encoding="utf-8"?>
<x:worksheet xmlns:x="http://schemas.openxmlformats.org/spreadsheetml/2006/main">
  <x:sheetFormatPr defaultRowHeight="15"/>
  <x:sheetData>
    <x:row r="1">
      <x:c r="A1" s="3" t="str">
        <x:v>ID</x:v>
      </x:c>
      <x:c r="B1" s="3" t="str">
        <x:v>Hypothesis</x:v>
      </x:c>
      <x:c r="C1" s="3" t="str">
        <x:v>Why It Matters</x:v>
      </x:c>
      <x:c r="D1" s="3" t="str">
        <x:v>How To Validate</x:v>
      </x:c>
    </x:row>
    <x:row r="2">
      <x:c r="A2" s="4" t="str">
        <x:v>H1</x:v>
      </x:c>
      <x:c r="B2" s="4" t="str">
        <x:v>Current content likely over-indexes on product/brand information versus user rituals.</x:v>
      </x:c>
      <x:c r="C2" s="4" t="str">
        <x:v>If manual post audit confirms low comment depth and limited UGC prompts, this is the main activation bottleneck.</x:v>
      </x:c>
      <x:c r="D2" s="4" t="str">
        <x:v>Audit latest 15 IG posts: percentage with clear user action prompt, people/hands/use-case visuals, comments asking product/store questions.</x:v>
      </x:c>
    </x:row>
    <x:row r="3">
      <x:c r="A3" s="4" t="str">
        <x:v>H2</x:v>
      </x:c>
      <x:c r="B3" s="4" t="str">
        <x:v>The strongest shareable hook is 'tiny sustainable steps' rather than broad sustainability education.</x:v>
      </x:c>
      <x:c r="C3" s="4" t="str">
        <x:v>This matches Slowood's own Linktree/website wording and lowers participation pressure.</x:v>
      </x:c>
      <x:c r="D3" s="4" t="str">
        <x:v>Test 4 weekly posts: one tiny swap, one refill ritual, one store corner, one user repost.</x:v>
      </x:c>
    </x:row>
    <x:row r="4">
      <x:c r="A4" s="4" t="str">
        <x:v>H3</x:v>
      </x:c>
      <x:c r="B4" s="4" t="str">
        <x:v>Slowood can own 'refill as lifestyle content' in Hong Kong better than smaller competitors.</x:v>
      </x:c>
      <x:c r="C4" s="4" t="str">
        <x:v>It has multiple stores, Refill Point, airport context, and a polished retail environment.</x:v>
      </x:c>
      <x:c r="D4" s="4" t="str">
        <x:v>Create a monthly refill challenge with hashtag, template cover, and story highlight archive.</x:v>
      </x:c>
    </x:row>
    <x:row r="5">
      <x:c r="A5" s="4" t="str">
        <x:v>H4</x:v>
      </x:c>
      <x:c r="B5" s="4" t="str">
        <x:v>Xiaohongshu should be treated as discovery/search content, not only reposted IG visuals.</x:v>
      </x:c>
      <x:c r="C5" s="4" t="str">
        <x:v>Users search location, route, price, what to buy, and photo spots.</x:v>
      </x:c>
      <x:c r="D5" s="4" t="str">
        <x:v>Manual XHS sampling should code title hooks: 打卡, 环保购物, 裸买, 慢生活, 香港小众店, 伴手礼.</x:v>
      </x:c>
    </x:row>
  </x:sheetData>
  <x:pageMargins left="0.7" right="0.7" top="0.75" bottom="0.75" header="0.3" footer="0.3"/>
</x:worksheet>
</file>

<file path=xl/worksheets/sheet24.xml><?xml version="1.0" encoding="utf-8"?>
<x:worksheet xmlns:x="http://schemas.openxmlformats.org/spreadsheetml/2006/main">
  <x:sheetFormatPr defaultRowHeight="15"/>
  <x:sheetData>
    <x:row r="1">
      <x:c r="A1" s="3" t="str">
        <x:v>ID</x:v>
      </x:c>
      <x:c r="B1" s="3" t="str">
        <x:v>Diagnosis</x:v>
      </x:c>
      <x:c r="C1" s="3" t="str">
        <x:v>Evidence</x:v>
      </x:c>
      <x:c r="D1" s="3" t="str">
        <x:v>Source Sheet</x:v>
      </x:c>
      <x:c r="E1" s="3" t="str">
        <x:v>Confidence</x:v>
      </x:c>
      <x:c r="F1" s="3" t="str">
        <x:v>Portfolio Implication</x:v>
      </x:c>
    </x:row>
    <x:row r="2">
      <x:c r="A2" s="4" t="str">
        <x:v>D1</x:v>
      </x:c>
      <x:c r="B2" s="4" t="str">
        <x:v>Social content promise is broad, while competitor claims can be sharper.</x:v>
      </x:c>
      <x:c r="C2" s="4" t="str">
        <x:v>Slowood profile frames sustainable lifestyle, zerowaste store, multiple districts, Refill Point, and broad product categories; Live Zero uses the more focused claim 'Hong Kong's first zero-waste grocery store'.</x:v>
      </x:c>
      <x:c r="D2" s="4" t="str">
        <x:v>Account_Audit; Competitor_Benchmark</x:v>
      </x:c>
      <x:c r="E2" s="4" t="str">
        <x:v>Medium</x:v>
      </x:c>
      <x:c r="F2" s="4" t="str">
        <x:v>Slowood should not compete only on category clarity. It should own the broader promise: sustainable living that is easy to try, save, and share.</x:v>
      </x:c>
    </x:row>
    <x:row r="3">
      <x:c r="A3" s="4" t="str">
        <x:v>D2</x:v>
      </x:c>
      <x:c r="B3" s="4" t="str">
        <x:v>Historical third-party signal suggests Slowood may underperform Live Zero on interaction depth.</x:v>
      </x:c>
      <x:c r="C3" s="4" t="str">
        <x:v>SocialAuditor snapshot shows Slowood at 57.67 avg likes / 0.67 avg comments / 0.56% ER versus Live Zero at 188.67 / 7.67 / 1.18%. Snapshot is stale and must be validated with current post capture.</x:v>
      </x:c>
      <x:c r="D3" s="4" t="str">
        <x:v>Social_Metrics</x:v>
      </x:c>
      <x:c r="E3" s="4" t="str">
        <x:v>Medium with caveat</x:v>
      </x:c>
      <x:c r="F3" s="4" t="str">
        <x:v>Use this as the problem signal, then replace with current manual 10-15 post samples for final portfolio charts.</x:v>
      </x:c>
    </x:row>
    <x:row r="4">
      <x:c r="A4" s="4" t="str">
        <x:v>D3</x:v>
      </x:c>
      <x:c r="B4" s="4" t="str">
        <x:v>The most shareable existing consumer hook is store experience plus identity, not only product utility.</x:v>
      </x:c>
      <x:c r="C4" s="4" t="str">
        <x:v>XHS/media summaries and local guides repeatedly mention must-visit, Hong Kong Trader Joe's, minimalist warm interior, Instagrammable corners, self-serve refill, and product variety.</x:v>
      </x:c>
      <x:c r="D4" s="4" t="str">
        <x:v>Consumer_Insights; Qualitative_Samples</x:v>
      </x:c>
      <x:c r="E4" s="4" t="str">
        <x:v>High</x:v>
      </x:c>
      <x:c r="F4" s="4" t="str">
        <x:v>Lead the case with 'Slowood already has shareable physical assets; the gap is systematizing them into repeatable social prompts.'</x:v>
      </x:c>
    </x:row>
    <x:row r="5">
      <x:c r="A5" s="4" t="str">
        <x:v>D4</x:v>
      </x:c>
      <x:c r="B5" s="4" t="str">
        <x:v>Price is a visible barrier and should be handled as content, not hidden.</x:v>
      </x:c>
      <x:c r="C5" s="4" t="str">
        <x:v>U Lifestyle and Wanderlog review excerpts mention expensive pricing, buying a little, exact grams, and BYO container discount.</x:v>
      </x:c>
      <x:c r="D5" s="4" t="str">
        <x:v>Consumer_Insights; Qualitative_Samples</x:v>
      </x:c>
      <x:c r="E5" s="4" t="str">
        <x:v>High</x:v>
      </x:c>
      <x:c r="F5" s="4" t="str">
        <x:v>Create value-led content: under-HKD100 tiny swaps, buy-only-what-you-need grams, BYO 5% discount, starter baskets.</x:v>
      </x:c>
    </x:row>
    <x:row r="6">
      <x:c r="A6" s="4" t="str">
        <x:v>D5</x:v>
      </x:c>
      <x:c r="B6" s="4" t="str">
        <x:v>Green Common benchmark shows sustainability performs better when translated into use cases.</x:v>
      </x:c>
      <x:c r="C6" s="4" t="str">
        <x:v>Historical Green Common indexed samples with stronger engagement were concrete recipe/promo/use-case posts: hotpot coupon, vegan mapo tofu, ready meal packs.</x:v>
      </x:c>
      <x:c r="D6" s="4" t="str">
        <x:v>Historical_Post_Examples</x:v>
      </x:c>
      <x:c r="E6" s="4" t="str">
        <x:v>Medium</x:v>
      </x:c>
      <x:c r="F6" s="4" t="str">
        <x:v>Slowood content should move from category catalog to routine-based scenarios: pantry refill, bathroom reset, airport kit, office snack drawer.</x:v>
      </x:c>
    </x:row>
    <x:row r="7">
      <x:c r="A7" s="4" t="str">
        <x:v>D6</x:v>
      </x:c>
      <x:c r="B7" s="4" t="str">
        <x:v>UGC and partner mentions exist, but the mechanism is not yet visible as a branded system.</x:v>
      </x:c>
      <x:c r="C7" s="4" t="str">
        <x:v>Lee Gardens and chi.chi.wuu samples show Slowood being mentioned through retail partnership and lifestyle product discovery. Static public account access did not reveal a consistent current UGC hashtag/series.</x:v>
      </x:c>
      <x:c r="D7" s="4" t="str">
        <x:v>IG_Tagged_Samples; Hashtag_Signals</x:v>
      </x:c>
      <x:c r="E7" s="4" t="str">
        <x:v>Medium</x:v>
      </x:c>
      <x:c r="F7" s="4" t="str">
        <x:v>Build a persistent UGC loop with a named hashtag, story highlight archive, monthly repost template, and user prompt.</x:v>
      </x:c>
    </x:row>
    <x:row r="8">
      <x:c r="A8" s="4" t="str">
        <x:v>D7</x:v>
      </x:c>
      <x:c r="B8" s="4" t="str">
        <x:v>Xiaohongshu opportunity is search/discovery-led, not feed-only reposting.</x:v>
      </x:c>
      <x:c r="C8" s="4" t="str">
        <x:v>Existing XHS secondary summaries center what to buy, must-visit, price, airport hidden product, concert/hiking use cases, and Hong Kong shopping comparison.</x:v>
      </x:c>
      <x:c r="D8" s="4" t="str">
        <x:v>XHS_Note_Audit; Qualitative_Samples</x:v>
      </x:c>
      <x:c r="E8" s="4" t="str">
        <x:v>Medium</x:v>
      </x:c>
      <x:c r="F8" s="4" t="str">
        <x:v>Treat XHS as intent capture: titles should answer 'where to go', 'what to buy', 'how expensive', and 'why worth saving'.</x:v>
      </x:c>
    </x:row>
    <x:row r="9">
      <x:c r="A9" s="4" t="str">
        <x:v>D8</x:v>
      </x:c>
      <x:c r="B9" s="4" t="str">
        <x:v>Current evidence is strong enough for strategy direction but not enough for final recent-performance quantification.</x:v>
      </x:c>
      <x:c r="C9" s="4" t="str">
        <x:v>Official recent post list, Stories Highlights, direct comments, XHS raw notes, and current competitor post samples remain manual-access gaps.</x:v>
      </x:c>
      <x:c r="D9" s="4" t="str">
        <x:v>Completion_Audit; Manual_Capture_Guide</x:v>
      </x:c>
      <x:c r="E9" s="4" t="str">
        <x:v>High</x:v>
      </x:c>
      <x:c r="F9" s="4" t="str">
        <x:v>Keep the portfolio honest: show the research tracker and mark current-post capture as the next validation step.</x:v>
      </x:c>
    </x:row>
    <x:row r="10">
      <x:c r="A10" s="4" t="str">
        <x:v>D9</x:v>
      </x:c>
      <x:c r="B10" s="4" t="str">
        <x:v>The recommended activation route is consistent with Slowood's own founder framing.</x:v>
      </x:c>
      <x:c r="C10" s="4" t="str">
        <x:v>HKTDC interview says environmental messages were about 20-30% of social content and emphasizes showing consumers that sustainability can start with small steps.</x:v>
      </x:c>
      <x:c r="D10" s="4" t="str">
        <x:v>Qualitative_Samples; Consumer_Insights</x:v>
      </x:c>
      <x:c r="E10" s="4" t="str">
        <x:v>High</x:v>
      </x:c>
      <x:c r="F10" s="4" t="str">
        <x:v>Frame the strategy as sharpening an existing brand truth, not inventing a disconnected campaign idea.</x:v>
      </x:c>
    </x:row>
    <x:row r="11">
      <x:c r="A11" s="4" t="str">
        <x:v>D10</x:v>
      </x:c>
      <x:c r="B11" s="4" t="str">
        <x:v>Slowood should measure and optimize traffic handoff, not only engagement.</x:v>
      </x:c>
      <x:c r="C11" s="4" t="str">
        <x:v>The BulkSHoppers Linktree shows practical order/contact routing; Slowood's link hub is broader and should be checked for whether it supports campaign-specific conversion.</x:v>
      </x:c>
      <x:c r="D11" s="4" t="str">
        <x:v>Account_Audit; Qualitative_Samples</x:v>
      </x:c>
      <x:c r="E11" s="4" t="str">
        <x:v>Medium</x:v>
      </x:c>
      <x:c r="F11" s="4" t="str">
        <x:v>Add bio-link audit to the final case: campaign landing page or Linktree destination should match the active content series.</x:v>
      </x:c>
    </x:row>
    <x:row r="12">
      <x:c r="A12" s="4" t="str">
        <x:v>D11</x:v>
      </x:c>
      <x:c r="B12" s="4" t="str">
        <x:v>Convenience and cost are the clearest refill adoption barriers.</x:v>
      </x:c>
      <x:c r="C12" s="4" t="str">
        <x:v>Refill.hk explicitly says convenience and cost are large barriers for people who have not yet adopted refill, while customers collectively made small lifestyle changes.</x:v>
      </x:c>
      <x:c r="D12" s="4" t="str">
        <x:v>Consumer_Insights; Qualitative_Samples</x:v>
      </x:c>
      <x:c r="E12" s="4" t="str">
        <x:v>High</x:v>
      </x:c>
      <x:c r="F12" s="4" t="str">
        <x:v>Make 'easy and affordable refill' a proof-driven pillar with tutorial, location, price/value and first-time bottle content.</x:v>
      </x:c>
    </x:row>
    <x:row r="13">
      <x:c r="A13" s="4" t="str">
        <x:v>D12</x:v>
      </x:c>
      <x:c r="B13" s="4" t="str">
        <x:v>Tourist/search content should highlight sensory shopping and niche souvenirs.</x:v>
      </x:c>
      <x:c r="C13" s="4" t="str">
        <x:v>Becca Daily, TKWW and U Lifestyle show Slowood travels as a place-to-visit and what-to-buy topic: warm wood interior, calming scent, snacks, incense, airport and branch guide.</x:v>
      </x:c>
      <x:c r="D13" s="4" t="str">
        <x:v>Shareable_Content_Hooks; Qualitative_Samples</x:v>
      </x:c>
      <x:c r="E13" s="4" t="str">
        <x:v>High</x:v>
      </x:c>
      <x:c r="F13" s="4" t="str">
        <x:v>For XHS, lead with search hooks such as Slowood买什么, 香港环保选物店, 小众香氛伴手礼, 中环街市慢逛路线.</x:v>
      </x:c>
    </x:row>
  </x:sheetData>
  <x:pageMargins left="0.7" right="0.7" top="0.75" bottom="0.75" header="0.3" footer="0.3"/>
</x:worksheet>
</file>

<file path=xl/worksheets/sheet25.xml><?xml version="1.0" encoding="utf-8"?>
<x:worksheet xmlns:x="http://schemas.openxmlformats.org/spreadsheetml/2006/main">
  <x:sheetFormatPr defaultRowHeight="15"/>
  <x:sheetData>
    <x:row r="1">
      <x:c r="A1" s="3" t="str">
        <x:v>Priority</x:v>
      </x:c>
      <x:c r="B1" s="3" t="str">
        <x:v>Strategic Pillar</x:v>
      </x:c>
      <x:c r="C1" s="3" t="str">
        <x:v>Audience Need</x:v>
      </x:c>
      <x:c r="D1" s="3" t="str">
        <x:v>Content Mechanic</x:v>
      </x:c>
      <x:c r="E1" s="3" t="str">
        <x:v>Recommended Format</x:v>
      </x:c>
      <x:c r="F1" s="3" t="str">
        <x:v>Primary KPI</x:v>
      </x:c>
      <x:c r="G1" s="3" t="str">
        <x:v>Evidence Link</x:v>
      </x:c>
    </x:row>
    <x:row r="2">
      <x:c r="A2" s="4" t="str">
        <x:v>1</x:v>
      </x:c>
      <x:c r="B2" s="4" t="str">
        <x:v>Tiny Step Series</x:v>
      </x:c>
      <x:c r="C2" s="4" t="str">
        <x:v>Beginners who like the idea of sustainability but do not know where to start.</x:v>
      </x:c>
      <x:c r="D2" s="4" t="str">
        <x:v>Weekly 'one tiny swap' post: one item, one use case, shelf/store location, price/value note, and one saveable tip.</x:v>
      </x:c>
      <x:c r="E2" s="4" t="str">
        <x:v>IG Carousel + Reel + XHS note</x:v>
      </x:c>
      <x:c r="F2" s="4" t="str">
        <x:v>Save rate, comments asking product/location, link clicks/store visits</x:v>
      </x:c>
      <x:c r="G2" s="4" t="str">
        <x:v>Slowood's own 'Take a tiny step forward' language; beginner anxiety insight.</x:v>
      </x:c>
    </x:row>
    <x:row r="3">
      <x:c r="A3" s="4" t="str">
        <x:v>2</x:v>
      </x:c>
      <x:c r="B3" s="4" t="str">
        <x:v>Refill Run Ritual</x:v>
      </x:c>
      <x:c r="C3" s="4" t="str">
        <x:v>Existing customers and eco-curious shoppers who need a repeatable shopping routine.</x:v>
      </x:c>
      <x:c r="D3" s="4" t="str">
        <x:v>Show the full refill ritual: bring container, weigh, fill, label, pay, use at home. Invite users to post their own refill run.</x:v>
      </x:c>
      <x:c r="E3" s="4" t="str">
        <x:v>IG Reel + Stories Highlight + UGC repost</x:v>
      </x:c>
      <x:c r="F3" s="4" t="str">
        <x:v>UGC mentions, story replies, repeat hashtag use, refill-related comments</x:v>
      </x:c>
      <x:c r="G3" s="4" t="str">
        <x:v>Refill station/store experience evidence; DBS RefillFirst signal; Wanderlog exact-grams comments.</x:v>
      </x:c>
    </x:row>
    <x:row r="4">
      <x:c r="A4" s="4" t="str">
        <x:v>3</x:v>
      </x:c>
      <x:c r="B4" s="4" t="str">
        <x:v>Slowood Hidden Useful Finds</x:v>
      </x:c>
      <x:c r="C4" s="4" t="str">
        <x:v>XHS-style discovery users looking for practical, good-looking, high-value small products.</x:v>
      </x:c>
      <x:c r="D4" s="4" t="str">
        <x:v>Scenario-led picks: concert, hiking, office drawer, airport, bathroom reset, pantry restock, gifts under HKD200.</x:v>
      </x:c>
      <x:c r="E4" s="4" t="str">
        <x:v>XHS note + IG Carousel</x:v>
      </x:c>
      <x:c r="F4" s="4" t="str">
        <x:v>Saves, shares, product inquiries, click-through to product/category</x:v>
      </x:c>
      <x:c r="G4" s="4" t="str">
        <x:v>U Lifestyle HKD78 hidden product discussion; product breadth evidence.</x:v>
      </x:c>
    </x:row>
    <x:row r="5">
      <x:c r="A5" s="4" t="str">
        <x:v>4</x:v>
      </x:c>
      <x:c r="B5" s="4" t="str">
        <x:v>Sustainable Store Corners</x:v>
      </x:c>
      <x:c r="C5" s="4" t="str">
        <x:v>Visitors and tourists who share places that reflect lifestyle identity.</x:v>
      </x:c>
      <x:c r="D5" s="4" t="str">
        <x:v>Monthly store-corner prompts: refill wall, bulk bins, warm-wood shelves, tote/container shot, airport store stop.</x:v>
      </x:c>
      <x:c r="E5" s="4" t="str">
        <x:v>IG Reel/Carousel + location tag prompt</x:v>
      </x:c>
      <x:c r="F5" s="4" t="str">
        <x:v>Location-tagged posts, UGC repost pool, profile visits</x:v>
      </x:c>
      <x:c r="G5" s="4" t="str">
        <x:v>Tatler/Happy Hongkonger/Coconuts aesthetic store signals.</x:v>
      </x:c>
    </x:row>
    <x:row r="6">
      <x:c r="A6" s="4" t="str">
        <x:v>5</x:v>
      </x:c>
      <x:c r="B6" s="4" t="str">
        <x:v>Under-HKD100 Starter Basket</x:v>
      </x:c>
      <x:c r="C6" s="4" t="str">
        <x:v>Price-sensitive first-time shoppers.</x:v>
      </x:c>
      <x:c r="D6" s="4" t="str">
        <x:v>Transparent basket posts that show small trial quantities, BYO discount, exact grams, and low-risk first swaps.</x:v>
      </x:c>
      <x:c r="E6" s="4" t="str">
        <x:v>IG Carousel + XHS guide</x:v>
      </x:c>
      <x:c r="F6" s="4" t="str">
        <x:v>Comments on price/value, saves, starter product clicks</x:v>
      </x:c>
      <x:c r="G6" s="4" t="str">
        <x:v>U Lifestyle and Wanderlog price barrier signals.</x:v>
      </x:c>
    </x:row>
    <x:row r="7">
      <x:c r="A7" s="4" t="str">
        <x:v>6</x:v>
      </x:c>
      <x:c r="B7" s="4" t="str">
        <x:v>Low-Waste Travel Kit</x:v>
      </x:c>
      <x:c r="C7" s="4" t="str">
        <x:v>Airport visitors, tourists, concert/hiking users, and gift shoppers.</x:v>
      </x:c>
      <x:c r="D7" s="4" t="str">
        <x:v>Build airport and travel kits: reusable bottle, snack refill, hand care, mini personal care, gifts that travel well.</x:v>
      </x:c>
      <x:c r="E7" s="4" t="str">
        <x:v>XHS note + IG Reel + store route post</x:v>
      </x:c>
      <x:c r="F7" s="4" t="str">
        <x:v>XHS saves, airport store searches, product questions</x:v>
      </x:c>
      <x:c r="G7" s="4" t="str">
        <x:v>HKIA store launch; U Lifestyle concert/hiking product angle.</x:v>
      </x:c>
    </x:row>
    <x:row r="8">
      <x:c r="A8" s="4" t="str">
        <x:v>7</x:v>
      </x:c>
      <x:c r="B8" s="4" t="str">
        <x:v>User Tiny Step Wall</x:v>
      </x:c>
      <x:c r="C8" s="4" t="str">
        <x:v>Customers who need recognition and an easy reason to post.</x:v>
      </x:c>
      <x:c r="D8" s="4" t="str">
        <x:v>Ask users to share one tiny sustainable step with #MySlowoodTinyStep; repost monthly with consistent cover template and highlight archive.</x:v>
      </x:c>
      <x:c r="E8" s="4" t="str">
        <x:v>UGC prompt + Stories Highlight + monthly recap</x:v>
      </x:c>
      <x:c r="F8" s="4" t="str">
        <x:v>UGC volume, hashtag posts, story engagement, repost submissions</x:v>
      </x:c>
      <x:c r="G8" s="4" t="str">
        <x:v>IG tagged samples show external mentions exist; need a branded mechanism.</x:v>
      </x:c>
    </x:row>
    <x:row r="9">
      <x:c r="A9" s="4" t="str">
        <x:v>8</x:v>
      </x:c>
      <x:c r="B9" s="4" t="str">
        <x:v>Use-Case Pairings</x:v>
      </x:c>
      <x:c r="C9" s="4" t="str">
        <x:v>Followers who want sustainable choices to fit meals/home routines.</x:v>
      </x:c>
      <x:c r="D9" s="4" t="str">
        <x:v>Pair bulk/refill products with a concrete routine: oat breakfast, spice refill recipe, bathroom cleaner refill, gift wrap/furoshiki.</x:v>
      </x:c>
      <x:c r="E9" s="4" t="str">
        <x:v>IG Carousel + Reel</x:v>
      </x:c>
      <x:c r="F9" s="4" t="str">
        <x:v>Saves, recipe/routine comments, product bundle clicks</x:v>
      </x:c>
      <x:c r="G9" s="4" t="str">
        <x:v>Green Common benchmark: recipe/use-case posts outperform abstract values.</x:v>
      </x:c>
    </x:row>
  </x:sheetData>
  <x:pageMargins left="0.7" right="0.7" top="0.75" bottom="0.75" header="0.3" footer="0.3"/>
</x:worksheet>
</file>

<file path=xl/worksheets/sheet26.xml><?xml version="1.0" encoding="utf-8"?>
<x:worksheet xmlns:x="http://schemas.openxmlformats.org/spreadsheetml/2006/main">
  <x:sheetFormatPr defaultRowHeight="15"/>
  <x:sheetData>
    <x:row r="1">
      <x:c r="A1" s="3" t="str">
        <x:v>Platform / Intent</x:v>
      </x:c>
      <x:c r="B1" s="3" t="str">
        <x:v>Hook</x:v>
      </x:c>
      <x:c r="C1" s="3" t="str">
        <x:v>Suggested Visuals</x:v>
      </x:c>
      <x:c r="D1" s="3" t="str">
        <x:v>User Motivation</x:v>
      </x:c>
      <x:c r="E1" s="3" t="str">
        <x:v>Content Angle</x:v>
      </x:c>
      <x:c r="F1" s="3" t="str">
        <x:v>Evidence Source</x:v>
      </x:c>
    </x:row>
    <x:row r="2">
      <x:c r="A2" s="4" t="str">
        <x:v>XHS / Tourist Search</x:v>
      </x:c>
      <x:c r="B2" s="4" t="str">
        <x:v>香港必打卡环保选物店</x:v>
      </x:c>
      <x:c r="C2" s="4" t="str">
        <x:v>Store facade, warm wood interior, refill wall, shopping basket</x:v>
      </x:c>
      <x:c r="D2" s="4" t="str">
        <x:v>Visitor wants a saveable place to go.</x:v>
      </x:c>
      <x:c r="E2" s="4" t="str">
        <x:v>Central Market / Kennedy Town / Causeway Bay / HKIA branch guide</x:v>
      </x:c>
      <x:c r="F2" s="4" t="str">
        <x:v>U Lifestyle; Becca Daily; iDiscover</x:v>
      </x:c>
    </x:row>
    <x:row r="3">
      <x:c r="A3" s="4" t="str">
        <x:v>XHS / Product Discovery</x:v>
      </x:c>
      <x:c r="B3" s="4" t="str">
        <x:v>Slowood 买什么：小众香氛伴手礼</x:v>
      </x:c>
      <x:c r="C3" s="4" t="str">
        <x:v>Incense boxes, scent-testing, hand holding product, suitcase/airport context</x:v>
      </x:c>
      <x:c r="D3" s="4" t="str">
        <x:v>User wants a useful and photogenic souvenir.</x:v>
      </x:c>
      <x:c r="E3" s="4" t="str">
        <x:v>Sagrada Madre incense, fragrance, travel gift</x:v>
      </x:c>
      <x:c r="F3" s="4" t="str">
        <x:v>TKWW; Becca Daily</x:v>
      </x:c>
    </x:row>
    <x:row r="4">
      <x:c r="A4" s="4" t="str">
        <x:v>IG / Reels</x:v>
      </x:c>
      <x:c r="B4" s="4" t="str">
        <x:v>My first refill run</x:v>
      </x:c>
      <x:c r="C4" s="4" t="str">
        <x:v>Bring bottle, weigh/fill/pay/use sequence</x:v>
      </x:c>
      <x:c r="D4" s="4" t="str">
        <x:v>User wants to see how refill works without embarrassment.</x:v>
      </x:c>
      <x:c r="E4" s="4" t="str">
        <x:v>Step-by-step refill ritual and first-time bottle guidance</x:v>
      </x:c>
      <x:c r="F4" s="4" t="str">
        <x:v>Refill.hk; HKTDC; Wanderlog</x:v>
      </x:c>
    </x:row>
    <x:row r="5">
      <x:c r="A5" s="4" t="str">
        <x:v>IG Carousel / Saveable Guide</x:v>
      </x:c>
      <x:c r="B5" s="4" t="str">
        <x:v>HKD100 内 tiny swaps</x:v>
      </x:c>
      <x:c r="C5" s="4" t="str">
        <x:v>Basket flat-lay, price labels, grams/amount control</x:v>
      </x:c>
      <x:c r="D5" s="4" t="str">
        <x:v>User wants to try sustainability without overspending.</x:v>
      </x:c>
      <x:c r="E5" s="4" t="str">
        <x:v>Low-price starter basket and exact-grams buying logic</x:v>
      </x:c>
      <x:c r="F5" s="4" t="str">
        <x:v>U Lifestyle; Wanderlog; Refill.hk</x:v>
      </x:c>
    </x:row>
    <x:row r="6">
      <x:c r="A6" s="4" t="str">
        <x:v>XHS / Route Content</x:v>
      </x:c>
      <x:c r="B6" s="4" t="str">
        <x:v>中环街市慢逛路线：Slowood + nearby stops</x:v>
      </x:c>
      <x:c r="C6" s="4" t="str">
        <x:v>Map crop, Central Market signage, store shelves, coffee/food nearby</x:v>
      </x:c>
      <x:c r="D6" s="4" t="str">
        <x:v>User wants an itinerary, not only a store name.</x:v>
      </x:c>
      <x:c r="E6" s="4" t="str">
        <x:v>Central Market eco stop and weekend browsing route</x:v>
      </x:c>
      <x:c r="F6" s="4" t="str">
        <x:v>Reddit; iDiscover; Becca Daily</x:v>
      </x:c>
    </x:row>
    <x:row r="7">
      <x:c r="A7" s="4" t="str">
        <x:v>IG / UGC Prompt</x:v>
      </x:c>
      <x:c r="B7" s="4" t="str">
        <x:v>#MySlowoodTinyStep</x:v>
      </x:c>
      <x:c r="C7" s="4" t="str">
        <x:v>User-generated refill bottle, tote, shelf find, bathroom/pantry use at home</x:v>
      </x:c>
      <x:c r="D7" s="4" t="str">
        <x:v>User needs an easy reason to post and be reposted.</x:v>
      </x:c>
      <x:c r="E7" s="4" t="str">
        <x:v>Monthly repost wall and Stories Highlight</x:v>
      </x:c>
      <x:c r="F7" s="4" t="str">
        <x:v>Community_UGC_Benchmarks; Instagram tagged samples</x:v>
      </x:c>
    </x:row>
    <x:row r="8">
      <x:c r="A8" s="4" t="str">
        <x:v>XHS / Practical Scenario</x:v>
      </x:c>
      <x:c r="B8" s="4" t="str">
        <x:v>演唱会/行山/机场前的低废好物</x:v>
      </x:c>
      <x:c r="C8" s="4" t="str">
        <x:v>Small useful product in hand, backpack/suitcase, airport shelf</x:v>
      </x:c>
      <x:c r="D8" s="4" t="str">
        <x:v>User wants scenario-specific items that feel high-value.</x:v>
      </x:c>
      <x:c r="E8" s="4" t="str">
        <x:v>Travel kit, concert/hiking useful finds, HKIA store</x:v>
      </x:c>
      <x:c r="F8" s="4" t="str">
        <x:v>U Lifestyle 2025; Slowood HKIA; Becca Daily</x:v>
      </x:c>
    </x:row>
    <x:row r="9">
      <x:c r="A9" s="4" t="str">
        <x:v>IG Carousel / Education</x:v>
      </x:c>
      <x:c r="B9" s="4" t="str">
        <x:v>为什么买几克刚刚好</x:v>
      </x:c>
      <x:c r="C9" s="4" t="str">
        <x:v>Bulk bins, scale, paper bag, pantry jar at home</x:v>
      </x:c>
      <x:c r="D9" s="4" t="str">
        <x:v>User wants to reduce waste and avoid overbuying.</x:v>
      </x:c>
      <x:c r="E9" s="4" t="str">
        <x:v>Pick-and-pack exact amount explanation</x:v>
      </x:c>
      <x:c r="F9" s="4" t="str">
        <x:v>Wanderlog; Becca Daily; Time Out</x:v>
      </x:c>
    </x:row>
  </x:sheetData>
  <x:pageMargins left="0.7" right="0.7" top="0.75" bottom="0.75" header="0.3" footer="0.3"/>
</x:worksheet>
</file>

<file path=xl/worksheets/sheet27.xml><?xml version="1.0" encoding="utf-8"?>
<x:worksheet xmlns:x="http://schemas.openxmlformats.org/spreadsheetml/2006/main">
  <x:sheetFormatPr defaultRowHeight="15"/>
  <x:sheetData>
    <x:row r="1">
      <x:c r="A1" s="3" t="str">
        <x:v>Block</x:v>
      </x:c>
      <x:c r="B1" s="3" t="str">
        <x:v>Portfolio-Ready Copy</x:v>
      </x:c>
      <x:c r="C1" s="3" t="str">
        <x:v>Where To Use</x:v>
      </x:c>
    </x:row>
    <x:row r="2">
      <x:c r="A2" s="4" t="str">
        <x:v>Problem Statement</x:v>
      </x:c>
      <x:c r="B2" s="4" t="str">
        <x:v>Slowood has strong offline assets and a broad sustainable lifestyle proposition, but public signals suggest its social opportunity is not simply more product posting. The opportunity is to make sustainable living easier to imitate and share.</x:v>
      </x:c>
      <x:c r="C2" s="4" t="str">
        <x:v>Use on case-study opening.</x:v>
      </x:c>
    </x:row>
    <x:row r="3">
      <x:c r="A3" s="4" t="str">
        <x:v>Research Method</x:v>
      </x:c>
      <x:c r="B3" s="4" t="str">
        <x:v>Public account audit, competitor benchmark, historical third-party social snapshots, qualitative consumer review coding, XHS secondary evidence, and a manual capture workbook for recent post validation.</x:v>
      </x:c>
      <x:c r="C3" s="4" t="str">
        <x:v>Use in methodology section.</x:v>
      </x:c>
    </x:row>
    <x:row r="4">
      <x:c r="A4" s="4" t="str">
        <x:v>Key Insight 1</x:v>
      </x:c>
      <x:c r="B4" s="4" t="str">
        <x:v>Users share Slowood as an identity and place discovery: aesthetic store, refill ritual, must-visit shopping spot, not only individual product utility.</x:v>
      </x:c>
      <x:c r="C4" s="4" t="str">
        <x:v>Pair with qualitative quote/card visuals.</x:v>
      </x:c>
    </x:row>
    <x:row r="5">
      <x:c r="A5" s="4" t="str">
        <x:v>Key Insight 2</x:v>
      </x:c>
      <x:c r="B5" s="4" t="str">
        <x:v>The main barrier is not awareness of sustainability; it is practical friction: price, uncertainty about what to buy, and how to start.</x:v>
      </x:c>
      <x:c r="C5" s="4" t="str">
        <x:v>Pair with barrier matrix.</x:v>
      </x:c>
    </x:row>
    <x:row r="6">
      <x:c r="A6" s="4" t="str">
        <x:v>Key Insight 3</x:v>
      </x:c>
      <x:c r="B6" s="4" t="str">
        <x:v>Competitor and benchmark evidence points to use-case-first content: recipes, routines, starter baskets, and concrete product scenarios.</x:v>
      </x:c>
      <x:c r="C6" s="4" t="str">
        <x:v>Pair with competitor content map.</x:v>
      </x:c>
    </x:row>
    <x:row r="7">
      <x:c r="A7" s="4" t="str">
        <x:v>Strategy Thesis</x:v>
      </x:c>
      <x:c r="B7" s="4" t="str">
        <x:v>Let sustainable living become shareable by turning brand values into repeatable social rituals: tiny swaps, refill runs, hidden useful finds, and user tiny steps.</x:v>
      </x:c>
      <x:c r="C7" s="4" t="str">
        <x:v>Use as final strategy headline.</x:v>
      </x:c>
    </x:row>
    <x:row r="8">
      <x:c r="A8" s="4" t="str">
        <x:v>Recommended Visual</x:v>
      </x:c>
      <x:c r="B8" s="4" t="str">
        <x:v>2x2 content map: Brand-led vs User-led on X-axis, Abstract values vs Concrete action on Y-axis. Put desired strategy in User-led + Concrete action quadrant.</x:v>
      </x:c>
      <x:c r="C8" s="4" t="str">
        <x:v>Use in portfolio slide/page.</x:v>
      </x:c>
    </x:row>
    <x:row r="9">
      <x:c r="A9" s="4" t="str">
        <x:v>Recommended Chart</x:v>
      </x:c>
      <x:c r="B9" s="4" t="str">
        <x:v>After manual capture, show avg interactions by brand and content-type mix by brand. Use current 10-15 post samples, not stale third-party snapshots.</x:v>
      </x:c>
      <x:c r="C9" s="4" t="str">
        <x:v>Use after filling manual sample rows.</x:v>
      </x:c>
    </x:row>
  </x:sheetData>
  <x:pageMargins left="0.7" right="0.7" top="0.75" bottom="0.75" header="0.3" footer="0.3"/>
</x:worksheet>
</file>

<file path=xl/worksheets/sheet28.xml><?xml version="1.0" encoding="utf-8"?>
<x:worksheet xmlns:x="http://schemas.openxmlformats.org/spreadsheetml/2006/main">
  <x:sheetFormatPr defaultRowHeight="15"/>
  <x:sheetData>
    <x:row r="1">
      <x:c r="A1" s="3" t="str">
        <x:v>Source</x:v>
      </x:c>
      <x:c r="B1" s="3" t="str">
        <x:v>URL</x:v>
      </x:c>
      <x:c r="C1" s="3" t="str">
        <x:v>Use / Note</x:v>
      </x:c>
    </x:row>
    <x:row r="2">
      <x:c r="A2" s="4" t="str">
        <x:v>Slowood Instagram profile metadata</x:v>
      </x:c>
      <x:c r="B2" s="4" t="str">
        <x:v>https://www.instagram.com/slowood.hk/</x:v>
      </x:c>
      <x:c r="C2" s="4" t="str">
        <x:v>Public profile metadata accessible without login; post-level grid was not exposed in static HTML.</x:v>
      </x:c>
    </x:row>
    <x:row r="3">
      <x:c r="A3" s="4" t="str">
        <x:v>Slowood Linktree</x:v>
      </x:c>
      <x:c r="B3" s="4" t="str">
        <x:v>https://linktr.ee/slowood</x:v>
      </x:c>
      <x:c r="C3" s="4" t="str">
        <x:v>Bio link page; page title and description accessible.</x:v>
      </x:c>
    </x:row>
    <x:row r="4">
      <x:c r="A4" s="4" t="str">
        <x:v>Slowood Zero Waste page</x:v>
      </x:c>
      <x:c r="B4" s="4" t="str">
        <x:v>https://www.slowood.hk/pages/zero-waste</x:v>
      </x:c>
      <x:c r="C4" s="4" t="str">
        <x:v>Brand positioning and zero-waste shopping explanation.</x:v>
      </x:c>
    </x:row>
    <x:row r="5">
      <x:c r="A5" s="4" t="str">
        <x:v>Slowood FAQ</x:v>
      </x:c>
      <x:c r="B5" s="4" t="str">
        <x:v>https://www.slowood.hk/pages/faq</x:v>
      </x:c>
      <x:c r="C5" s="4" t="str">
        <x:v>Company origin, store concept, social update channels.</x:v>
      </x:c>
    </x:row>
    <x:row r="6">
      <x:c r="A6" s="4" t="str">
        <x:v>Slowood HKIA launch</x:v>
      </x:c>
      <x:c r="B6" s="4" t="str">
        <x:v>https://www.slowood.hk/blogs/news-and-events/slowood-launches-the-first-zero-waste-lifestyle-airport-store-at-hkia</x:v>
      </x:c>
      <x:c r="C6" s="4" t="str">
        <x:v>Airport store positioning and travel sustainability use case.</x:v>
      </x:c>
    </x:row>
    <x:row r="7">
      <x:c r="A7" s="4" t="str">
        <x:v>Coconuts HK Slowood feature</x:v>
      </x:c>
      <x:c r="B7" s="4" t="str">
        <x:v>https://coconuts.co/hongkong/lifestyle/slowood-hks-new-zero-waste-store-eco-friendly-goods-minimalist-space/</x:v>
      </x:c>
      <x:c r="C7" s="4" t="str">
        <x:v>Store atmosphere and product range framing.</x:v>
      </x:c>
    </x:row>
    <x:row r="8">
      <x:c r="A8" s="4" t="str">
        <x:v>Hive Life Slowood profile</x:v>
      </x:c>
      <x:c r="B8" s="4" t="str">
        <x:v>https://hivelife.com/slowood/</x:v>
      </x:c>
      <x:c r="C8" s="4" t="str">
        <x:v>Founder story and one-stop green alternatives framing.</x:v>
      </x:c>
    </x:row>
    <x:row r="9">
      <x:c r="A9" s="4" t="str">
        <x:v>Vogue HK zero-waste stores guide</x:v>
      </x:c>
      <x:c r="B9" s="4" t="str">
        <x:v>https://www.voguehk.com/en/article/art-lifestyle/best-zero-waste-stores-in-hong-kong/</x:v>
      </x:c>
      <x:c r="C9" s="4" t="str">
        <x:v>Third-party description of Slowood and Live Zero in HK zero-waste context.</x:v>
      </x:c>
    </x:row>
    <x:row r="10">
      <x:c r="A10" s="4" t="str">
        <x:v>Live Zero Instagram profile metadata</x:v>
      </x:c>
      <x:c r="B10" s="4" t="str">
        <x:v>https://www.instagram.com/livezero.hk/</x:v>
      </x:c>
      <x:c r="C10" s="4" t="str">
        <x:v>Public profile metadata accessible without login.</x:v>
      </x:c>
    </x:row>
    <x:row r="11">
      <x:c r="A11" s="4" t="str">
        <x:v>Live Zero location page</x:v>
      </x:c>
      <x:c r="B11" s="4" t="str">
        <x:v>https://livezero.hk/pages/location</x:v>
      </x:c>
      <x:c r="C11" s="4" t="str">
        <x:v>Current store location, hours, Instagram update note.</x:v>
      </x:c>
    </x:row>
    <x:row r="12">
      <x:c r="A12" s="4" t="str">
        <x:v>CSP Times zero-waste stores guide</x:v>
      </x:c>
      <x:c r="B12" s="4" t="str">
        <x:v>https://www.csptimes.com/post/top-10-zero-waste-stores-in-hong-kong</x:v>
      </x:c>
      <x:c r="C12" s="4" t="str">
        <x:v>Competitor positioning and category description.</x:v>
      </x:c>
    </x:row>
    <x:row r="13">
      <x:c r="A13" s="4" t="str">
        <x:v>The Bulkshoppers Instagram profile metadata</x:v>
      </x:c>
      <x:c r="B13" s="4" t="str">
        <x:v>https://www.instagram.com/thebulkshoppers/</x:v>
      </x:c>
      <x:c r="C13" s="4" t="str">
        <x:v>Public profile metadata accessible without login.</x:v>
      </x:c>
    </x:row>
    <x:row r="14">
      <x:c r="A14" s="4" t="str">
        <x:v>Green Common website</x:v>
      </x:c>
      <x:c r="B14" s="4" t="str">
        <x:v>https://www.greencommon.com/</x:v>
      </x:c>
      <x:c r="C14" s="4" t="str">
        <x:v>Plant-based retail product focus and shop locator.</x:v>
      </x:c>
    </x:row>
    <x:row r="15">
      <x:c r="A15" s="4" t="str">
        <x:v>Green Queen Green Common flagship article</x:v>
      </x:c>
      <x:c r="B15" s="4" t="str">
        <x:v>https://www.greenqueen.com.hk/green-common-nexxus-central/</x:v>
      </x:c>
      <x:c r="C15" s="4" t="str">
        <x:v>Brand benchmark for modern plant-based retail and dining positioning.</x:v>
      </x:c>
    </x:row>
    <x:row r="16">
      <x:c r="A16" s="4" t="str">
        <x:v>Viable Earth Green Monday influencer recipes article</x:v>
      </x:c>
      <x:c r="B16" s="4" t="str">
        <x:v>https://viable.earth/plant-based-food/green-monday-teams-with-hong-kong-food-influencers-on-plant-based-recipes/</x:v>
      </x:c>
      <x:c r="C16" s="4" t="str">
        <x:v>Benchmark for influencer/recipe-led plant-based social activation.</x:v>
      </x:c>
    </x:row>
    <x:row r="17">
      <x:c r="A17" s="4" t="str">
        <x:v>U Lifestyle Xiaohongshu viral Slowood article</x:v>
      </x:c>
      <x:c r="B17" s="4" t="str">
        <x:v>https://hk.ulifestyle.com.hk/activity/detail/20011494/</x:v>
      </x:c>
      <x:c r="C17" s="4" t="str">
        <x:v>Secondary summary of Xiaohongshu user discussion: must-visit, Hong Kong Trader Joe's, rich selection, price barrier.</x:v>
      </x:c>
    </x:row>
    <x:row r="18">
      <x:c r="A18" s="4" t="str">
        <x:v>U Lifestyle Slowood airport hidden product article</x:v>
      </x:c>
      <x:c r="B18" s="4" t="str">
        <x:v>https://hk.ulifestyle.com.hk/topic/detail/20080535/</x:v>
      </x:c>
      <x:c r="C18" s="4" t="str">
        <x:v>Secondary summary of Xiaohongshu product discovery at Slowood HKIA store.</x:v>
      </x:c>
    </x:row>
    <x:row r="19">
      <x:c r="A19" s="4" t="str">
        <x:v>Wanderlog Slowood Kennedy Town reviews</x:v>
      </x:c>
      <x:c r="B19" s="4" t="str">
        <x:v>https://wanderlog.com/place/details/6048252/slowood-kennedy-town</x:v>
      </x:c>
      <x:c r="C19" s="4" t="str">
        <x:v>Aggregated Google review score and review excerpts for consumer keyword coding.</x:v>
      </x:c>
    </x:row>
    <x:row r="20">
      <x:c r="A20" s="4" t="str">
        <x:v>PopDaily Slowood Kennedy Town article</x:v>
      </x:c>
      <x:c r="B20" s="4" t="str">
        <x:v>https://popdaily.com/hk/article/153181</x:v>
      </x:c>
      <x:c r="C20" s="4" t="str">
        <x:v>Older embedded Instagram examples and user-facing store experience description.</x:v>
      </x:c>
    </x:row>
    <x:row r="21">
      <x:c r="A21" s="4" t="str">
        <x:v>Happy Hongkonger Kennedy Town guide</x:v>
      </x:c>
      <x:c r="B21" s="4" t="str">
        <x:v>https://www.happyhongkonger.com/guide-to-kennedy-town/</x:v>
      </x:c>
      <x:c r="C21" s="4" t="str">
        <x:v>Store visit motivation: eco-friendly gifts, bring container, minimalist shop.</x:v>
      </x:c>
    </x:row>
    <x:row r="22">
      <x:c r="A22" s="4" t="str">
        <x:v>Tatler Asia Kennedy Town guide</x:v>
      </x:c>
      <x:c r="B22" s="4" t="str">
        <x:v>https://www.tatlerasia.com/lifestyle/travel/neighbourhood-guide-where-to-eat-drink-shop-kennedy-town-zh-hans</x:v>
      </x:c>
      <x:c r="C22" s="4" t="str">
        <x:v>Chinese-language source describing Instagrammable corners and one-stop eco lifestyle store.</x:v>
      </x:c>
    </x:row>
    <x:row r="23">
      <x:c r="A23" s="4" t="str">
        <x:v>DBS Live More naked shopping article</x:v>
      </x:c>
      <x:c r="B23" s="4" t="str">
        <x:v>https://www.dbs.com/livemore/hk-zh/inspirations/sustainable-living-by-buying-naked.html</x:v>
      </x:c>
      <x:c r="C23" s="4" t="str">
        <x:v>Founder quote, pricing claim, RefillFirst sales lift context.</x:v>
      </x:c>
    </x:row>
    <x:row r="24">
      <x:c r="A24" s="4" t="str">
        <x:v>HKTDC Slowood interview</x:v>
      </x:c>
      <x:c r="B24" s="4" t="str">
        <x:v>https://hkmb.hktdc.com/en/1X0AIJ6N/article/start-up-takes-eco-shopping-slow</x:v>
      </x:c>
      <x:c r="C24" s="4" t="str">
        <x:v>Founder interview: social media education, tiny steps, refill-focused store design, reusable container encouragement.</x:v>
      </x:c>
    </x:row>
    <x:row r="25">
      <x:c r="A25" s="4" t="str">
        <x:v>Corner Kennedy Town Slowood page</x:v>
      </x:c>
      <x:c r="B25" s="4" t="str">
        <x:v>https://www.corner.inc/place/96174?listId=f31b4196-9621-40b9-90d3-b8b9108907f0</x:v>
      </x:c>
      <x:c r="C25" s="4" t="str">
        <x:v>Local place listing with opening hours and Google review aggregation for Slowood Kennedy Town.</x:v>
      </x:c>
    </x:row>
    <x:row r="26">
      <x:c r="A26" s="4" t="str">
        <x:v>Tatler zero-waste Instagram accounts guide</x:v>
      </x:c>
      <x:c r="B26" s="4" t="str">
        <x:v>https://www.tatlerasia.com/sustainability/sustainable-living/5-zero-waste-instagram-accounts-to-follow</x:v>
      </x:c>
      <x:c r="C26" s="4" t="str">
        <x:v>Benchmark examples for hashtag-based challenges, weekly tips, DIY workshops and small-step messaging.</x:v>
      </x:c>
    </x:row>
    <x:row r="27">
      <x:c r="A27" s="4" t="str">
        <x:v>The BulkSHoppers Linktree</x:v>
      </x:c>
      <x:c r="B27" s="4" t="str">
        <x:v>https://linktr.ee/thebulkshoppers</x:v>
      </x:c>
      <x:c r="C27" s="4" t="str">
        <x:v>Competitor link-in-bio hub for direct product/order/social conversion cues.</x:v>
      </x:c>
    </x:row>
    <x:row r="28">
      <x:c r="A28" s="4" t="str">
        <x:v>Reddit Hong Kong Central Market thread</x:v>
      </x:c>
      <x:c r="B28" s="4" t="str">
        <x:v>https://www.reddit.com/r/HongKong/comments/utknq6/central_market_a_good_weekend_hangout_spot/</x:v>
      </x:c>
      <x:c r="C28" s="4" t="str">
        <x:v>Community discussion mentioning Slowood in Central Market as part of weekend browsing context.</x:v>
      </x:c>
    </x:row>
    <x:row r="29">
      <x:c r="A29" s="4" t="str">
        <x:v>Refill.hk</x:v>
      </x:c>
      <x:c r="B29" s="4" t="str">
        <x:v>https://www.refill.hk/</x:v>
      </x:c>
      <x:c r="C29" s="4" t="str">
        <x:v>Official refill project evidence: accessibility, affordability, community habit adoption, refill barriers and Refill Point expansion.</x:v>
      </x:c>
    </x:row>
    <x:row r="30">
      <x:c r="A30" s="4" t="str">
        <x:v>Becca Daily Slowood travel/shop article</x:v>
      </x:c>
      <x:c r="B30" s="4" t="str">
        <x:v>https://beccadaily.com/p7730/</x:v>
      </x:c>
      <x:c r="C30" s="4" t="str">
        <x:v>2025 travel-blog style store visit with visuals, must-buy categories, branch details, sensory cues and tourist/shopper motivations.</x:v>
      </x:c>
    </x:row>
    <x:row r="31">
      <x:c r="A31" s="4" t="str">
        <x:v>Ta Kung Wen Wei / Hong Kong Commercial Daily Slowood treasure shop article</x:v>
      </x:c>
      <x:c r="B31" s="4" t="str">
        <x:v>https://www.tkww.hk/epaper/view/newsDetail/1912186705348268032.html</x:v>
      </x:c>
      <x:c r="C31" s="4" t="str">
        <x:v>2025 article summarizing Xiaohongshu-driven 'treasure shop' and niche souvenir framing around incense products.</x:v>
      </x:c>
    </x:row>
    <x:row r="32">
      <x:c r="A32" s="4" t="str">
        <x:v>Time Out Slowood Kennedy Town opening</x:v>
      </x:c>
      <x:c r="B32" s="4" t="str">
        <x:v>https://www.timeout.com/hong-kong/news/new-sustainable-grocery-shop-slowood-opens-in-kennedy-town-011819</x:v>
      </x:c>
      <x:c r="C32" s="4" t="str">
        <x:v>Store design, brand/product breadth and refill station price/value signal.</x:v>
      </x:c>
    </x:row>
    <x:row r="33">
      <x:c r="A33" s="4" t="str">
        <x:v>iDiscover Slowood Central Market</x:v>
      </x:c>
      <x:c r="B33" s="4" t="str">
        <x:v>https://i-discoverasia.com/walks/circular-city-map-hongkong/locations/slowood/</x:v>
      </x:c>
      <x:c r="C33" s="4" t="str">
        <x:v>Central Market route/listing context: Slowood as eco-journey stop with maps/directions.</x:v>
      </x:c>
    </x:row>
    <x:row r="34">
      <x:c r="A34" s="4" t="str">
        <x:v>abillion Slowood listing</x:v>
      </x:c>
      <x:c r="B34" s="4" t="str">
        <x:v>https://www.abillion.com/restaurants/slowood-10232030</x:v>
      </x:c>
      <x:c r="C34" s="4" t="str">
        <x:v>Vegan/healthy review platform listing for Kennedy Town; low review volume but useful category signal.</x:v>
      </x:c>
    </x:row>
    <x:row r="35">
      <x:c r="A35" s="4" t="str">
        <x:v>SocialAuditor slowood.hk historical snapshot</x:v>
      </x:c>
      <x:c r="B35" s="4" t="str">
        <x:v>https://socialauditor.io/profile/slowood.hk</x:v>
      </x:c>
      <x:c r="C35" s="4" t="str">
        <x:v>Third-party historical Instagram metrics: avg likes/comments and popular hashtags. Snapshot conflicts with current IG profile counts, so treat as historical/stale.</x:v>
      </x:c>
    </x:row>
    <x:row r="36">
      <x:c r="A36" s="4" t="str">
        <x:v>SocialAuditor livezero.hk historical snapshot</x:v>
      </x:c>
      <x:c r="B36" s="4" t="str">
        <x:v>https://socialauditor.io/profile/livezero.hk</x:v>
      </x:c>
      <x:c r="C36" s="4" t="str">
        <x:v>Third-party historical Instagram metrics for direct competitor.</x:v>
      </x:c>
    </x:row>
    <x:row r="37">
      <x:c r="A37" s="4" t="str">
        <x:v>SocialAuditor green_common historical snapshot</x:v>
      </x:c>
      <x:c r="B37" s="4" t="str">
        <x:v>https://socialauditor.io/profile/green_common</x:v>
      </x:c>
      <x:c r="C37" s="4" t="str">
        <x:v>Third-party historical Instagram metrics for indirect benchmark.</x:v>
      </x:c>
    </x:row>
    <x:row r="38">
      <x:c r="A38" s="4" t="str">
        <x:v>SocialAuditor Green Common indexed post examples</x:v>
      </x:c>
      <x:c r="B38" s="4" t="str">
        <x:v>https://socialauditor.io/profile/green_common</x:v>
      </x:c>
      <x:c r="C38" s="4" t="str">
        <x:v>Historical post-level examples with date, likes, comments and captions surfaced in search index.</x:v>
      </x:c>
    </x:row>
    <x:row r="39">
      <x:c r="A39" s="4" t="str">
        <x:v>SocialAuditor Lee Gardens indexed Slowood tagged post</x:v>
      </x:c>
      <x:c r="B39" s="4" t="str">
        <x:v>https://socialauditor.io/profile/leegardenshk</x:v>
      </x:c>
      <x:c r="C39" s="4" t="str">
        <x:v>Public tagged/collaboration example mentioning @slowood.hk and Hysan Place offer.</x:v>
      </x:c>
    </x:row>
    <x:row r="40">
      <x:c r="A40" s="4" t="str">
        <x:v>SocialAuditor chi.chi.wuu indexed Slowood tagged post</x:v>
      </x:c>
      <x:c r="B40" s="4" t="str">
        <x:v>https://socialauditor.io/profile/chi.chi.wuu</x:v>
      </x:c>
      <x:c r="C40" s="4" t="str">
        <x:v>Public influencer-style post mentioning @slowood.hk, sustainable lifestyle, natural products and promo code.</x:v>
      </x:c>
    </x:row>
    <x:row r="41">
      <x:c r="A41" s="4" t="str">
        <x:v>Logged-in Chrome audit for Slowood Instagram recent posts</x:v>
      </x:c>
      <x:c r="B41" s="4" t="str">
        <x:v>https://www.instagram.com/slowood.hk/</x:v>
      </x:c>
      <x:c r="C41" s="4" t="str">
        <x:v>Used the user's already logged-in Instagram session in Chrome in read-only mode to capture recent post URLs, dates, captions, likes, comments, hashtags and format cues.</x:v>
      </x:c>
    </x:row>
    <x:row r="42">
      <x:c r="A42" s="4" t="str">
        <x:v>Logged-in Chrome audit for competitor Instagram recent posts</x:v>
      </x:c>
      <x:c r="B42" s="4" t="str">
        <x:v>https://www.instagram.com/livezero.hk/ ; https://www.instagram.com/thebulkshoppers/</x:v>
      </x:c>
      <x:c r="C42" s="4" t="str">
        <x:v>Used the user's already logged-in Instagram session in Chrome in read-only mode to capture recent competitor post URLs, dates, captions, visible likes/comments and format cues.</x:v>
      </x:c>
    </x:row>
    <x:row r="43">
      <x:c r="A43" s="4" t="str">
        <x:v>Logged-in Xiaohongshu Slowood search</x:v>
      </x:c>
      <x:c r="B43" s="4" t="str">
        <x:v>https://www.xiaohongshu.com/search_result?keyword=Slowood</x:v>
      </x:c>
      <x:c r="C43" s="4" t="str">
        <x:v>Used the user's already logged-in Xiaohongshu session in Chrome in read-only mode to capture raw note-level titles, dates shown in search, visible likes/saves, URLs and content angles.</x:v>
      </x:c>
    </x:row>
    <x:row r="44">
      <x:c r="A44" s="4" t="str">
        <x:v>Public search audit for recent IG/XHS posts</x:v>
      </x:c>
      <x:c r="B44" s="4" t="str">
        <x:v>Search attempts on 2026-06-05</x:v>
      </x:c>
      <x:c r="C44" s="4" t="str">
        <x:v>Searched public web indexes for recent @slowood.hk, @livezero.hk and Xiaohongshu post-level samples; later replaced XHS secondary-only gap with logged-in raw note capture.</x:v>
      </x:c>
    </x:row>
  </x:sheetData>
  <x:pageMargins left="0.7" right="0.7" top="0.75" bottom="0.75" header="0.3" footer="0.3"/>
</x:worksheet>
</file>

<file path=xl/worksheets/sheet29.xml><?xml version="1.0" encoding="utf-8"?>
<x:worksheet xmlns:x="http://schemas.openxmlformats.org/spreadsheetml/2006/main">
  <x:sheetFormatPr defaultRowHeight="15"/>
  <x:sheetData>
    <x:row r="1">
      <x:c r="A1" s="3" t="str">
        <x:v>Requirement</x:v>
      </x:c>
      <x:c r="B1" s="3" t="str">
        <x:v>Status</x:v>
      </x:c>
      <x:c r="C1" s="3" t="str">
        <x:v>Evidence Added</x:v>
      </x:c>
      <x:c r="D1" s="3" t="str">
        <x:v>Remaining Gap</x:v>
      </x:c>
    </x:row>
    <x:row r="2">
      <x:c r="A2" s="4" t="str">
        <x:v>Slowood IG profile audit</x:v>
      </x:c>
      <x:c r="B2" s="4" t="str">
        <x:v>Complete for current research stage</x:v>
      </x:c>
      <x:c r="C2" s="4" t="str">
        <x:v>Account-level metadata, bio, store locations, profile link, highlights and current recent-post sample collected from logged-in Chrome plus public sources.</x:v>
      </x:c>
      <x:c r="D2" s="4" t="str">
        <x:v>Optional: deeper slide-level Stories audit if final deck needs screenshots.</x:v>
      </x:c>
    </x:row>
    <x:row r="3">
      <x:c r="A3" s="4" t="str">
        <x:v>Slowood IG recent 3-6 month post list</x:v>
      </x:c>
      <x:c r="B3" s="4" t="str">
        <x:v>Complete for 15-post sample</x:v>
      </x:c>
      <x:c r="C3" s="4" t="str">
        <x:v>15 recent posts captured with URL, date, content type, format, likes, comments, caption hook, visual style and hashtags.</x:v>
      </x:c>
      <x:c r="D3" s="4" t="str">
        <x:v>Optional: extend the sample beyond June-April 2025 if the final case requires a strict 6-month window.</x:v>
      </x:c>
    </x:row>
    <x:row r="4">
      <x:c r="A4" s="4" t="str">
        <x:v>Slowood Xiaohongshu search</x:v>
      </x:c>
      <x:c r="B4" s="4" t="str">
        <x:v>Complete for 15-note sample</x:v>
      </x:c>
      <x:c r="C4" s="4" t="str">
        <x:v>15 first-hand logged-in Xiaohongshu search-result samples captured, including exact titles, visible likes/saves, dates, URLs, motivation and barrier coding. Secondary U Lifestyle / TKWW summaries remain useful context.</x:v>
      </x:c>
      <x:c r="D4" s="4" t="str">
        <x:v>Optional: open individual notes for deeper comment themes or screenshots.</x:v>
      </x:c>
    </x:row>
    <x:row r="5">
      <x:c r="A5" s="4" t="str">
        <x:v>Competitor profile benchmark</x:v>
      </x:c>
      <x:c r="B5" s="4" t="str">
        <x:v>Mostly complete</x:v>
      </x:c>
      <x:c r="C5" s="4" t="str">
        <x:v>Live Zero @livezero.hk and The Bulkshoppers @thebulkshoppers current 10-post samples captured; Green Common/OmniFoods remains a historical/content-structure benchmark.</x:v>
      </x:c>
      <x:c r="D5" s="4" t="str">
        <x:v>Optional: capture current Green Common / OmniFoods if the final case needs a third current IG benchmark.</x:v>
      </x:c>
    </x:row>
    <x:row r="6">
      <x:c r="A6" s="4" t="str">
        <x:v>Competitor content type and UGC mechanism</x:v>
      </x:c>
      <x:c r="B6" s="4" t="str">
        <x:v>Mostly complete</x:v>
      </x:c>
      <x:c r="C6" s="4" t="str">
        <x:v>Live Zero sample shows practical how-to refill, jar donation, local vegetable and product-use posts; The Bulkshoppers sample shows high-frequency order/pickup/menu operations.</x:v>
      </x:c>
      <x:c r="D6" s="4" t="str">
        <x:v>Need deeper comment expansion only if the final case needs qualitative competitor comment themes.</x:v>
      </x:c>
    </x:row>
    <x:row r="7">
      <x:c r="A7" s="4" t="str">
        <x:v>Consumer insights</x:v>
      </x:c>
      <x:c r="B7" s="4" t="str">
        <x:v>Mostly complete</x:v>
      </x:c>
      <x:c r="C7" s="4" t="str">
        <x:v>Public review and media/user-summary samples collected from Wanderlog, U Lifestyle, Happy Hongkonger, Tatler, PopDaily, DBS.</x:v>
      </x:c>
      <x:c r="D7" s="4" t="str">
        <x:v>Could improve with direct Instagram comments, location-tagged posts, and raw XHS note screenshots/links.</x:v>
      </x:c>
    </x:row>
    <x:row r="8">
      <x:c r="A8" s="4" t="str">
        <x:v>Excel research workbook</x:v>
      </x:c>
      <x:c r="B8" s="4" t="str">
        <x:v>Updated research pack</x:v>
      </x:c>
      <x:c r="C8" s="4" t="str">
        <x:v>Workbook includes current Slowood IG 15-post sample, Live Zero 10-post sample, The Bulkshoppers 10-post sample, Xiaohongshu 15-note sample, account audit, stories audit, consumer insights, qualitative samples, strategy hypotheses, sources, completion audit.</x:v>
      </x:c>
      <x:c r="D8" s="4" t="str">
        <x:v>Optional gaps: Green Common current IG sample, XHS deep comment expansion, and screenshot evidence for final deck.</x:v>
      </x:c>
    </x:row>
  </x:sheetData>
  <x:pageMargins left="0.7" right="0.7" top="0.75" bottom="0.75" header="0.3" footer="0.3"/>
</x:worksheet>
</file>